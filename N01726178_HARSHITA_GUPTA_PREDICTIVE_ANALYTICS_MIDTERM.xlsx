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897"/>
  </bookViews>
  <sheets>
    <sheet name="TTC Ridership Forecasting  ANS " sheetId="9" r:id="rId1"/>
    <sheet name="Regression Model" sheetId="6" r:id="rId2"/>
    <sheet name="Decomposition Mode l SAL ANS 2" sheetId="7" r:id="rId3"/>
    <sheet name="Summary &amp; Comparison ANS 2" sheetId="8" r:id="rId4"/>
    <sheet name="Part A - Perceptron  ANS 3 " sheetId="1" r:id="rId5"/>
    <sheet name="Part B - Training Error" sheetId="2" r:id="rId6"/>
    <sheet name="Part C - SGD" sheetId="3" r:id="rId7"/>
    <sheet name="Part D - Objective Function" sheetId="4" r:id="rId8"/>
  </sheet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3" i="9"/>
  <c r="C13"/>
  <c r="F12"/>
  <c r="E12"/>
  <c r="C12"/>
  <c r="D12" s="1"/>
  <c r="E11"/>
  <c r="F11" s="1"/>
  <c r="C18" s="1"/>
  <c r="D11"/>
  <c r="C11"/>
  <c r="F10"/>
  <c r="E10"/>
  <c r="C10"/>
  <c r="D10" s="1"/>
  <c r="H7"/>
  <c r="G7"/>
  <c r="G8" s="1"/>
  <c r="B9" i="8"/>
  <c r="B8"/>
  <c r="B7"/>
  <c r="B6"/>
  <c r="B5"/>
  <c r="G22" i="7"/>
  <c r="H22" s="1"/>
  <c r="F31" s="1"/>
  <c r="F22"/>
  <c r="E22"/>
  <c r="G21"/>
  <c r="H21" s="1"/>
  <c r="F30" s="1"/>
  <c r="F21"/>
  <c r="E21"/>
  <c r="G20"/>
  <c r="H20" s="1"/>
  <c r="F33" s="1"/>
  <c r="F20"/>
  <c r="E20"/>
  <c r="G19"/>
  <c r="H19" s="1"/>
  <c r="F32" s="1"/>
  <c r="F19"/>
  <c r="E19"/>
  <c r="G18"/>
  <c r="H18" s="1"/>
  <c r="E31" s="1"/>
  <c r="F18"/>
  <c r="E18"/>
  <c r="G17"/>
  <c r="H17" s="1"/>
  <c r="E30" s="1"/>
  <c r="F17"/>
  <c r="E17"/>
  <c r="G16"/>
  <c r="H16" s="1"/>
  <c r="E33" s="1"/>
  <c r="F16"/>
  <c r="E16"/>
  <c r="G15"/>
  <c r="H15" s="1"/>
  <c r="E32" s="1"/>
  <c r="F15"/>
  <c r="E15"/>
  <c r="G14"/>
  <c r="H14" s="1"/>
  <c r="D31" s="1"/>
  <c r="F14"/>
  <c r="E14"/>
  <c r="G13"/>
  <c r="H13" s="1"/>
  <c r="D30" s="1"/>
  <c r="F13"/>
  <c r="E13"/>
  <c r="G12"/>
  <c r="H12" s="1"/>
  <c r="D33" s="1"/>
  <c r="F12"/>
  <c r="E12"/>
  <c r="G11"/>
  <c r="H11" s="1"/>
  <c r="D32" s="1"/>
  <c r="F11"/>
  <c r="E11"/>
  <c r="G10"/>
  <c r="H10" s="1"/>
  <c r="C31" s="1"/>
  <c r="G31" s="1"/>
  <c r="F10"/>
  <c r="E10"/>
  <c r="G9"/>
  <c r="H9" s="1"/>
  <c r="C30" s="1"/>
  <c r="G30" s="1"/>
  <c r="F9"/>
  <c r="E9"/>
  <c r="G8"/>
  <c r="H8" s="1"/>
  <c r="C33" s="1"/>
  <c r="G33" s="1"/>
  <c r="H33" s="1"/>
  <c r="F8"/>
  <c r="E8"/>
  <c r="G7"/>
  <c r="H7" s="1"/>
  <c r="C32" s="1"/>
  <c r="G32" s="1"/>
  <c r="F7"/>
  <c r="E7"/>
  <c r="G42" i="6"/>
  <c r="G41"/>
  <c r="G40"/>
  <c r="G39"/>
  <c r="J34"/>
  <c r="I34"/>
  <c r="H34"/>
  <c r="J33"/>
  <c r="I33"/>
  <c r="H33"/>
  <c r="J32"/>
  <c r="H32"/>
  <c r="I32" s="1"/>
  <c r="J31"/>
  <c r="I31"/>
  <c r="H31"/>
  <c r="J30"/>
  <c r="I30"/>
  <c r="H30"/>
  <c r="J29"/>
  <c r="I29"/>
  <c r="H29"/>
  <c r="J28"/>
  <c r="H28"/>
  <c r="I28" s="1"/>
  <c r="J27"/>
  <c r="I27"/>
  <c r="H27"/>
  <c r="J26"/>
  <c r="I26"/>
  <c r="H26"/>
  <c r="J25"/>
  <c r="I25"/>
  <c r="H25"/>
  <c r="J24"/>
  <c r="H24"/>
  <c r="I24" s="1"/>
  <c r="J23"/>
  <c r="I23"/>
  <c r="H23"/>
  <c r="J22"/>
  <c r="I22"/>
  <c r="H22"/>
  <c r="J21"/>
  <c r="I21"/>
  <c r="H21"/>
  <c r="J20"/>
  <c r="H20"/>
  <c r="I20" s="1"/>
  <c r="J19"/>
  <c r="I19"/>
  <c r="H19"/>
  <c r="J18"/>
  <c r="I18"/>
  <c r="H18"/>
  <c r="J17"/>
  <c r="I17"/>
  <c r="H17"/>
  <c r="J16"/>
  <c r="H16"/>
  <c r="I16" s="1"/>
  <c r="J15"/>
  <c r="H35" s="1"/>
  <c r="B10" i="8" s="1"/>
  <c r="I15" i="6"/>
  <c r="H15"/>
  <c r="G11" i="4"/>
  <c r="F9"/>
  <c r="G9" s="1"/>
  <c r="E9"/>
  <c r="E8"/>
  <c r="F8" s="1"/>
  <c r="G8" s="1"/>
  <c r="E7"/>
  <c r="F7" s="1"/>
  <c r="G7" s="1"/>
  <c r="G6"/>
  <c r="F6"/>
  <c r="E6"/>
  <c r="F5"/>
  <c r="G5" s="1"/>
  <c r="E5"/>
  <c r="E4"/>
  <c r="F4" s="1"/>
  <c r="G4" s="1"/>
  <c r="F7" i="3"/>
  <c r="F6"/>
  <c r="I5"/>
  <c r="H5"/>
  <c r="G5"/>
  <c r="J5" s="1"/>
  <c r="F5"/>
  <c r="E8" i="2"/>
  <c r="F8" s="1"/>
  <c r="G8" s="1"/>
  <c r="G7"/>
  <c r="F7"/>
  <c r="E7"/>
  <c r="F6"/>
  <c r="G6" s="1"/>
  <c r="E6"/>
  <c r="E5"/>
  <c r="F5" s="1"/>
  <c r="G5" s="1"/>
  <c r="E4"/>
  <c r="F4" s="1"/>
  <c r="G4" s="1"/>
  <c r="E9" s="1"/>
  <c r="G3"/>
  <c r="F3"/>
  <c r="E3"/>
  <c r="G5" i="1"/>
  <c r="F5"/>
  <c r="E6" s="1"/>
  <c r="E5"/>
  <c r="H5" s="1"/>
  <c r="B17" i="8" l="1"/>
  <c r="E93" i="7"/>
  <c r="F81"/>
  <c r="F77"/>
  <c r="F69"/>
  <c r="F56"/>
  <c r="G56" s="1"/>
  <c r="F52"/>
  <c r="G52" s="1"/>
  <c r="F48"/>
  <c r="G48" s="1"/>
  <c r="F44"/>
  <c r="G44" s="1"/>
  <c r="F40"/>
  <c r="G40" s="1"/>
  <c r="F85"/>
  <c r="F73"/>
  <c r="H8" i="9"/>
  <c r="G9"/>
  <c r="H6" i="1"/>
  <c r="F6"/>
  <c r="G6"/>
  <c r="H31" i="7"/>
  <c r="C17" i="9"/>
  <c r="H30" i="7"/>
  <c r="G6" i="3"/>
  <c r="G10" i="4"/>
  <c r="G12" s="1"/>
  <c r="H32" i="7"/>
  <c r="H9" i="9" l="1"/>
  <c r="G10"/>
  <c r="B15" i="8"/>
  <c r="E91" i="7"/>
  <c r="F83"/>
  <c r="F79"/>
  <c r="F75"/>
  <c r="F71"/>
  <c r="F67"/>
  <c r="F54"/>
  <c r="G54" s="1"/>
  <c r="F50"/>
  <c r="G50" s="1"/>
  <c r="F46"/>
  <c r="G46" s="1"/>
  <c r="F42"/>
  <c r="G42" s="1"/>
  <c r="F38"/>
  <c r="G38" s="1"/>
  <c r="F53"/>
  <c r="G53" s="1"/>
  <c r="F49"/>
  <c r="G49" s="1"/>
  <c r="F45"/>
  <c r="G45" s="1"/>
  <c r="F41"/>
  <c r="G41" s="1"/>
  <c r="F37"/>
  <c r="G37" s="1"/>
  <c r="B14" i="8"/>
  <c r="F78" i="7"/>
  <c r="F70"/>
  <c r="E90"/>
  <c r="F82"/>
  <c r="F74"/>
  <c r="F66"/>
  <c r="J6" i="3"/>
  <c r="H6"/>
  <c r="I6"/>
  <c r="F84" i="7"/>
  <c r="F80"/>
  <c r="F76"/>
  <c r="F72"/>
  <c r="F68"/>
  <c r="F55"/>
  <c r="G55" s="1"/>
  <c r="F51"/>
  <c r="G51" s="1"/>
  <c r="F47"/>
  <c r="G47" s="1"/>
  <c r="F43"/>
  <c r="G43" s="1"/>
  <c r="F39"/>
  <c r="G39" s="1"/>
  <c r="E92"/>
  <c r="B16" i="8"/>
  <c r="E7" i="1"/>
  <c r="F7" l="1"/>
  <c r="H7"/>
  <c r="G7"/>
  <c r="C60" i="7"/>
  <c r="C61"/>
  <c r="B19" i="8" s="1"/>
  <c r="H10" i="9"/>
  <c r="G11"/>
  <c r="G7" i="3"/>
  <c r="I7" l="1"/>
  <c r="J7"/>
  <c r="H7"/>
  <c r="H11" i="9"/>
  <c r="G12"/>
  <c r="F90" i="7"/>
  <c r="G90" s="1"/>
  <c r="J84"/>
  <c r="G83"/>
  <c r="H83" s="1"/>
  <c r="I83" s="1"/>
  <c r="J80"/>
  <c r="G79"/>
  <c r="H79" s="1"/>
  <c r="I79" s="1"/>
  <c r="J76"/>
  <c r="G75"/>
  <c r="H75" s="1"/>
  <c r="I75" s="1"/>
  <c r="J72"/>
  <c r="G71"/>
  <c r="H71" s="1"/>
  <c r="I71" s="1"/>
  <c r="J68"/>
  <c r="G67"/>
  <c r="H67" s="1"/>
  <c r="I67" s="1"/>
  <c r="B18" i="8"/>
  <c r="F93" i="7"/>
  <c r="G93" s="1"/>
  <c r="J85"/>
  <c r="G84"/>
  <c r="H84" s="1"/>
  <c r="I84" s="1"/>
  <c r="G80"/>
  <c r="H80" s="1"/>
  <c r="I80" s="1"/>
  <c r="J73"/>
  <c r="G72"/>
  <c r="H72" s="1"/>
  <c r="I72" s="1"/>
  <c r="G85"/>
  <c r="H85" s="1"/>
  <c r="I85" s="1"/>
  <c r="J82"/>
  <c r="G81"/>
  <c r="H81" s="1"/>
  <c r="I81" s="1"/>
  <c r="J74"/>
  <c r="G73"/>
  <c r="H73" s="1"/>
  <c r="I73" s="1"/>
  <c r="J66"/>
  <c r="F91"/>
  <c r="G91" s="1"/>
  <c r="J83"/>
  <c r="G82"/>
  <c r="H82" s="1"/>
  <c r="I82" s="1"/>
  <c r="J79"/>
  <c r="G78"/>
  <c r="H78" s="1"/>
  <c r="I78" s="1"/>
  <c r="J75"/>
  <c r="G74"/>
  <c r="H74" s="1"/>
  <c r="I74" s="1"/>
  <c r="J71"/>
  <c r="G70"/>
  <c r="H70" s="1"/>
  <c r="I70" s="1"/>
  <c r="J67"/>
  <c r="G66"/>
  <c r="H66" s="1"/>
  <c r="I66" s="1"/>
  <c r="J81"/>
  <c r="J77"/>
  <c r="G76"/>
  <c r="H76" s="1"/>
  <c r="I76" s="1"/>
  <c r="J69"/>
  <c r="G68"/>
  <c r="H68" s="1"/>
  <c r="I68" s="1"/>
  <c r="F92"/>
  <c r="G92" s="1"/>
  <c r="J78"/>
  <c r="G77"/>
  <c r="H77" s="1"/>
  <c r="I77" s="1"/>
  <c r="J70"/>
  <c r="G69"/>
  <c r="H69" s="1"/>
  <c r="I69" s="1"/>
  <c r="H12" i="9" l="1"/>
  <c r="C19" s="1"/>
  <c r="C21" s="1"/>
  <c r="G13"/>
  <c r="H86" i="7"/>
  <c r="B20" i="8" s="1"/>
  <c r="B24" s="1"/>
</calcChain>
</file>

<file path=xl/sharedStrings.xml><?xml version="1.0" encoding="utf-8"?>
<sst xmlns="http://schemas.openxmlformats.org/spreadsheetml/2006/main" count="466" uniqueCount="168">
  <si>
    <t>Part A — Perceptron Algorithm (First 3 Updates)</t>
  </si>
  <si>
    <t>Update Rule: if y·(θ₁x₁ + θ₂x₂ + θ₀) ≤ 0  →  θ = θ + y·[x₁, x₂, 1]     |     All values rounded to 4 decimal places</t>
  </si>
  <si>
    <t>Row</t>
  </si>
  <si>
    <t>x₁</t>
  </si>
  <si>
    <t>x₂</t>
  </si>
  <si>
    <t>y</t>
  </si>
  <si>
    <t>y(θ₁x₁ + θ₂x₂ + θ₀)</t>
  </si>
  <si>
    <t>θ₁</t>
  </si>
  <si>
    <t>θ₂</t>
  </si>
  <si>
    <t>θ₀</t>
  </si>
  <si>
    <t>Initialization</t>
  </si>
  <si>
    <t>Update 1</t>
  </si>
  <si>
    <t>Update 2</t>
  </si>
  <si>
    <t>Update 3</t>
  </si>
  <si>
    <t>Part B — Training Error  |  Decision Boundary: 17x₁ − 24x₂ − 19 = 0</t>
  </si>
  <si>
    <t>Point</t>
  </si>
  <si>
    <t>Score = 17x₁−24x₂−19</t>
  </si>
  <si>
    <t>Prediction</t>
  </si>
  <si>
    <t>Correct?</t>
  </si>
  <si>
    <t>(10, 6, 1)</t>
  </si>
  <si>
    <t>(8, 4, 1)</t>
  </si>
  <si>
    <t>(7, 8, -1)</t>
  </si>
  <si>
    <t>(7, 5, -1)</t>
  </si>
  <si>
    <t>(4, 1, -1)</t>
  </si>
  <si>
    <t>(7, 2, 1)</t>
  </si>
  <si>
    <t>Training Error  Eₙ(h) =</t>
  </si>
  <si>
    <t>← Final Answer</t>
  </si>
  <si>
    <t>Part C — SGD Updates  |  λ=1, η=1/(1+t), t starts at 0</t>
  </si>
  <si>
    <t>If y·score &lt; 1:  θ_new = θ_old·(1−η) + η·y·x     |     Else:  θ_new = θ_old·(1−η)     |     Do NOT round η</t>
  </si>
  <si>
    <t>t</t>
  </si>
  <si>
    <t>η = 1/(1+t)</t>
  </si>
  <si>
    <t>y·(θ₁x₁+θ₂x₂+θ₀)</t>
  </si>
  <si>
    <t>—</t>
  </si>
  <si>
    <t>Part D — SGD Objective Function  |  θ₁=0.3607, θ₂=−0.1803, θ₀=−0.4772, λ=1</t>
  </si>
  <si>
    <t>λ</t>
  </si>
  <si>
    <t>Score θ·x</t>
  </si>
  <si>
    <t>y·Score (margin)</t>
  </si>
  <si>
    <t>Hinge Loss max(0,1−margin)</t>
  </si>
  <si>
    <t>(10,6,1)</t>
  </si>
  <si>
    <t>(8,4,1)</t>
  </si>
  <si>
    <t>(7,8,-1)</t>
  </si>
  <si>
    <t>(7,5,-1)</t>
  </si>
  <si>
    <t>(4,1,-1)</t>
  </si>
  <si>
    <t>(7,2,1)</t>
  </si>
  <si>
    <t>i.  Average Hinge Loss  =  (1/n)·Σ Loss_h</t>
  </si>
  <si>
    <t>ii.  Regularization  =  (λ/2)·(θ₁² + θ₂²)   [bias θ₀ NOT regularized]</t>
  </si>
  <si>
    <t>iii.  J(θ₁,θ₂,θ₀)  =  Loss Term  +  Regularization Term</t>
  </si>
  <si>
    <t>Day</t>
  </si>
  <si>
    <t>Time Period</t>
  </si>
  <si>
    <t>Monday</t>
  </si>
  <si>
    <t>10:30am-11:30am</t>
  </si>
  <si>
    <t>11:30am-12:30pm</t>
  </si>
  <si>
    <t>12:30pm-1:30pm</t>
  </si>
  <si>
    <t>1:30pm-2:30pm</t>
  </si>
  <si>
    <t>Tuesday</t>
  </si>
  <si>
    <t>Wednesday</t>
  </si>
  <si>
    <t>Thursday</t>
  </si>
  <si>
    <t>Friday</t>
  </si>
  <si>
    <t>Sal's Sandwiches — Linear Regression Model (Trend + Seasonality)</t>
  </si>
  <si>
    <t>Model: ŷ = b₀ + b₁·X₁ + b₂·X₂ + b₃·X₃ + b₄·X₄   |   X₁=time, X₂=S1(10:30-11:30), X₃=S2(11:30-12:30), X₄=S3(12:30-1:30) [Base=S4: 1:30-2:30]</t>
  </si>
  <si>
    <t>Regression Coefficients (Rounded to 1 decimal)</t>
  </si>
  <si>
    <t>b₀ (Intercept)</t>
  </si>
  <si>
    <t>← Base intercept (when all dummies=0, t=0)</t>
  </si>
  <si>
    <t>b₁ (Trend X₁)</t>
  </si>
  <si>
    <t>← Customer increase per time period</t>
  </si>
  <si>
    <t>b₂ (Season 1, X₂)</t>
  </si>
  <si>
    <t>← Lift vs base for 10:30–11:30am</t>
  </si>
  <si>
    <t>b₃ (Season 2, X₃)</t>
  </si>
  <si>
    <t>← Lift vs base for 11:30am–12:30pm</t>
  </si>
  <si>
    <t>b₄ (Season 3, X₄)</t>
  </si>
  <si>
    <t>← Lift vs base for 12:30–1:30pm</t>
  </si>
  <si>
    <t>Equation:  ŷ  =  1.5  +  0.5·X₁  +  14.4·X₂  +  52.6·X₃  +  36.7·X₄</t>
  </si>
  <si>
    <t>Week 1 Forecasts &amp; MAPE</t>
  </si>
  <si>
    <t>Actual</t>
  </si>
  <si>
    <t>X₂ (S1)</t>
  </si>
  <si>
    <t>X₃ (S2)</t>
  </si>
  <si>
    <t>X₄ (S3)</t>
  </si>
  <si>
    <t>Forecast ŷ</t>
  </si>
  <si>
    <t>|Actual - ŷ|</t>
  </si>
  <si>
    <t>|% Error|</t>
  </si>
  <si>
    <t>MAPE</t>
  </si>
  <si>
    <t>%</t>
  </si>
  <si>
    <t>Wednesday — Week 2 Forecasts (t = 29 to 32)</t>
  </si>
  <si>
    <t>X₂</t>
  </si>
  <si>
    <t>X₃</t>
  </si>
  <si>
    <t>X₄</t>
  </si>
  <si>
    <t>Sal's Sandwiches — Decomposition Model (Seasonal Indices + Linear Trend)</t>
  </si>
  <si>
    <t>Step 1 — Centered Moving Averages (CMA)</t>
  </si>
  <si>
    <t>Actual (y)</t>
  </si>
  <si>
    <t>4-pt MA (before)</t>
  </si>
  <si>
    <t>4-pt MA (after)</t>
  </si>
  <si>
    <t>CMA</t>
  </si>
  <si>
    <t>Seasonal Ratio (y/CMA)</t>
  </si>
  <si>
    <t>N/A</t>
  </si>
  <si>
    <t>Step 2 — Seasonal Indices</t>
  </si>
  <si>
    <t>Method: Average seasonal ratios per season, then normalize so sum = 4</t>
  </si>
  <si>
    <t>Season</t>
  </si>
  <si>
    <t>Ratio 1 (t=3/4 or 5/6...)</t>
  </si>
  <si>
    <t>Ratio 2</t>
  </si>
  <si>
    <t>Ratio 3</t>
  </si>
  <si>
    <t>Average Ratio</t>
  </si>
  <si>
    <t>Avg Ratio (unrounded)</t>
  </si>
  <si>
    <t>Seasonal Index (rounded to 4dp)</t>
  </si>
  <si>
    <t>10:30–11:30am</t>
  </si>
  <si>
    <t>11:30am–12:30pm</t>
  </si>
  <si>
    <t>12:30–1:30pm</t>
  </si>
  <si>
    <t>1:30–2:30pm</t>
  </si>
  <si>
    <t>Step 3 — Deseasonalized Values (y / SI)</t>
  </si>
  <si>
    <t>SI Used</t>
  </si>
  <si>
    <t>Deseasonalized (y/SI)</t>
  </si>
  <si>
    <t>S1</t>
  </si>
  <si>
    <t>S2</t>
  </si>
  <si>
    <t>S3</t>
  </si>
  <si>
    <t>S4</t>
  </si>
  <si>
    <t>Step 4 — Linear Trend on Deseasonalized Values</t>
  </si>
  <si>
    <t>Coefficient</t>
  </si>
  <si>
    <t>Formula</t>
  </si>
  <si>
    <t>Value (rounded to 1dp)</t>
  </si>
  <si>
    <t>Intercept (b₀)</t>
  </si>
  <si>
    <t>ROUND(INTERCEPT(deseason_y, t), 1)</t>
  </si>
  <si>
    <t>Slope (b₁)</t>
  </si>
  <si>
    <t>ROUND(SLOPE(deseason_y, t), 1)</t>
  </si>
  <si>
    <t>Trend Equation:  T(t) = Intercept + Slope·t</t>
  </si>
  <si>
    <t>Step 5 — Decomposition Forecasts (Week 1) &amp; MAPE</t>
  </si>
  <si>
    <t>SI</t>
  </si>
  <si>
    <t>Trend T(t)</t>
  </si>
  <si>
    <t>Forecast (T·SI)</t>
  </si>
  <si>
    <t>|Actual-F|</t>
  </si>
  <si>
    <t>Step 6 — Wednesday Week 2 Forecasts (t=29 to 32)</t>
  </si>
  <si>
    <t>Sal's Sandwiches — Model Comparison Summary</t>
  </si>
  <si>
    <t>Regression Model</t>
  </si>
  <si>
    <t>Equation</t>
  </si>
  <si>
    <t>ŷ = 1.5 + 0.5·X₁ + 14.4·X₂ + 52.6·X₃ + 36.7·X₄</t>
  </si>
  <si>
    <t>b₁ (Trend)</t>
  </si>
  <si>
    <t>b₂ (Season 1: 10:30–11:30)</t>
  </si>
  <si>
    <t>b₃ (Season 2: 11:30–12:30)</t>
  </si>
  <si>
    <t>b₄ (Season 3: 12:30–1:30)</t>
  </si>
  <si>
    <t>Decomposition Model</t>
  </si>
  <si>
    <t>SI — 10:30–11:30am</t>
  </si>
  <si>
    <t>SI — 11:30am–12:30pm</t>
  </si>
  <si>
    <t>SI — 12:30–1:30pm</t>
  </si>
  <si>
    <t>SI — 1:30–2:30pm</t>
  </si>
  <si>
    <t>Trend Intercept</t>
  </si>
  <si>
    <t>Trend Slope</t>
  </si>
  <si>
    <t>Conclusion</t>
  </si>
  <si>
    <t>Better Model (lower MAPE):</t>
  </si>
  <si>
    <t>TTC Annual Ridership — Forecasting Models (4-yr MA, 4-yr WMA, Exponential Smoothing)</t>
  </si>
  <si>
    <t>Rule: All final results rounded to 3 decimal places. Rounded values are reused in subsequent calculations.</t>
  </si>
  <si>
    <t>α (alpha) =</t>
  </si>
  <si>
    <t>Weights (most→least recent):</t>
  </si>
  <si>
    <t>← W1, W2, W3, W4  (sum = 12)</t>
  </si>
  <si>
    <t>Year</t>
  </si>
  <si>
    <t>Revenue
(millions)</t>
  </si>
  <si>
    <t>4-yr MA
Forecast</t>
  </si>
  <si>
    <t>MA
|Error|</t>
  </si>
  <si>
    <t>4-yr WMA
Forecast</t>
  </si>
  <si>
    <t>WMA
|Error|</t>
  </si>
  <si>
    <t>ES Forecast
(α=0.29)</t>
  </si>
  <si>
    <t>ES
|Error|</t>
  </si>
  <si>
    <t>2021</t>
  </si>
  <si>
    <t>← Forecast</t>
  </si>
  <si>
    <t>Mean Absolute Deviation (MAD) — Calculated over years with forecasts available (2018–2020, n=3)</t>
  </si>
  <si>
    <t>NOTE: MAD errors are NOT rounded during intermediate steps — only the final MAD is rounded to 3dp</t>
  </si>
  <si>
    <t>4-yr Moving Average MAD</t>
  </si>
  <si>
    <t>← Final MAD (rounded to 3dp)</t>
  </si>
  <si>
    <t>4-yr Weighted MA MAD</t>
  </si>
  <si>
    <t>Exponential Smoothing MAD</t>
  </si>
  <si>
    <t>Best Method (lowest MAD):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</si>
</sst>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6">
    <font>
      <sz val="11"/>
      <color theme="1"/>
      <name val="Calibri"/>
      <family val="2"/>
      <charset val="1"/>
    </font>
    <font>
      <b/>
      <sz val="13"/>
      <color rgb="FFFFFFFF"/>
      <name val="Arial"/>
      <family val="2"/>
      <charset val="1"/>
    </font>
    <font>
      <b/>
      <sz val="11"/>
      <color rgb="FF1F4E79"/>
      <name val="Arial"/>
      <family val="2"/>
      <charset val="1"/>
    </font>
    <font>
      <b/>
      <sz val="11"/>
      <color rgb="FFFFFFFF"/>
      <name val="Arial"/>
      <family val="2"/>
      <charset val="1"/>
    </font>
    <font>
      <b/>
      <sz val="11"/>
      <color rgb="FF000000"/>
      <name val="Arial"/>
      <family val="2"/>
      <charset val="1"/>
    </font>
    <font>
      <sz val="11"/>
      <color rgb="FF000080"/>
      <name val="Arial"/>
      <family val="2"/>
      <charset val="1"/>
    </font>
    <font>
      <b/>
      <sz val="11"/>
      <color rgb="FF000080"/>
      <name val="Arial"/>
      <family val="2"/>
      <charset val="1"/>
    </font>
    <font>
      <sz val="11"/>
      <color rgb="FF000000"/>
      <name val="Arial"/>
      <family val="2"/>
      <charset val="1"/>
    </font>
    <font>
      <b/>
      <sz val="11"/>
      <color rgb="FF7B3F00"/>
      <name val="Arial"/>
      <family val="2"/>
      <charset val="1"/>
    </font>
    <font>
      <b/>
      <sz val="12"/>
      <color rgb="FFFFFFFF"/>
      <name val="Arial"/>
      <family val="2"/>
      <charset val="1"/>
    </font>
    <font>
      <b/>
      <sz val="12"/>
      <color rgb="FF000000"/>
      <name val="Arial"/>
      <family val="2"/>
      <charset val="1"/>
    </font>
    <font>
      <b/>
      <sz val="11"/>
      <color rgb="FF5B2C8D"/>
      <name val="Arial"/>
      <family val="2"/>
      <charset val="1"/>
    </font>
    <font>
      <b/>
      <sz val="13"/>
      <color rgb="FF000000"/>
      <name val="Arial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  <font>
      <i/>
      <sz val="9"/>
      <color rgb="FF595959"/>
      <name val="Arial"/>
      <family val="2"/>
    </font>
    <font>
      <b/>
      <sz val="11"/>
      <color rgb="FF1F4E79"/>
      <name val="Arial"/>
      <family val="2"/>
    </font>
    <font>
      <sz val="10"/>
      <name val="Arial"/>
      <family val="2"/>
    </font>
    <font>
      <b/>
      <sz val="12"/>
      <color rgb="FF1F4E79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i/>
      <sz val="11"/>
      <color rgb="FF1F4E79"/>
      <name val="Arial"/>
      <family val="2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375623"/>
      <name val="Arial"/>
      <family val="2"/>
    </font>
    <font>
      <b/>
      <i/>
      <sz val="9"/>
      <color rgb="FF000000"/>
      <name val="Arial"/>
      <family val="2"/>
    </font>
    <font>
      <b/>
      <sz val="10"/>
      <color rgb="FF1F4E79"/>
      <name val="Arial"/>
      <family val="2"/>
    </font>
    <font>
      <b/>
      <sz val="10"/>
      <color rgb="FFFFFFFF"/>
      <name val="Arial"/>
      <family val="2"/>
    </font>
    <font>
      <b/>
      <sz val="10"/>
      <color rgb="FF0070C0"/>
      <name val="Arial"/>
      <family val="2"/>
    </font>
    <font>
      <sz val="10"/>
      <color rgb="FF888888"/>
      <name val="Arial"/>
      <family val="2"/>
    </font>
    <font>
      <sz val="10"/>
      <color rgb="FF000000"/>
      <name val="Arial"/>
      <family val="2"/>
    </font>
    <font>
      <b/>
      <sz val="10"/>
      <color rgb="FF375623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375623"/>
      </patternFill>
    </fill>
    <fill>
      <patternFill patternType="solid">
        <fgColor rgb="FFBDD7EE"/>
        <bgColor rgb="FF99CCFF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375623"/>
        <bgColor rgb="FF595959"/>
      </patternFill>
    </fill>
    <fill>
      <patternFill patternType="solid">
        <fgColor rgb="FF5B2C8D"/>
        <bgColor rgb="FF660066"/>
      </patternFill>
    </fill>
    <fill>
      <patternFill patternType="solid">
        <fgColor rgb="FFEAD7F7"/>
        <bgColor rgb="FFFCE4D6"/>
      </patternFill>
    </fill>
    <fill>
      <patternFill patternType="solid">
        <fgColor rgb="FF833C00"/>
        <bgColor rgb="FF7B3F00"/>
      </patternFill>
    </fill>
    <fill>
      <patternFill patternType="solid">
        <fgColor rgb="FFFCE4D6"/>
        <bgColor rgb="FFF2F2F2"/>
      </patternFill>
    </fill>
    <fill>
      <patternFill patternType="solid">
        <fgColor rgb="FFFFFFFF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4" fillId="2" borderId="0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left" vertical="center" wrapText="1"/>
    </xf>
    <xf numFmtId="0" fontId="13" fillId="2" borderId="0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8" fillId="6" borderId="0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3" fillId="2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6" fillId="5" borderId="2" xfId="0" applyNumberFormat="1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7" fillId="3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7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7" fillId="4" borderId="2" xfId="0" applyNumberFormat="1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164" fontId="10" fillId="6" borderId="2" xfId="0" applyNumberFormat="1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165" fontId="7" fillId="9" borderId="2" xfId="0" applyNumberFormat="1" applyFont="1" applyFill="1" applyBorder="1" applyAlignment="1">
      <alignment horizontal="center" vertical="center" wrapText="1"/>
    </xf>
    <xf numFmtId="164" fontId="7" fillId="9" borderId="2" xfId="0" applyNumberFormat="1" applyFont="1" applyFill="1" applyBorder="1" applyAlignment="1">
      <alignment horizontal="center" vertical="center" wrapText="1"/>
    </xf>
    <xf numFmtId="165" fontId="7" fillId="4" borderId="2" xfId="0" applyNumberFormat="1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64" fontId="6" fillId="11" borderId="2" xfId="0" applyNumberFormat="1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164" fontId="7" fillId="11" borderId="2" xfId="0" applyNumberFormat="1" applyFont="1" applyFill="1" applyBorder="1" applyAlignment="1">
      <alignment horizontal="center" vertical="center" wrapText="1"/>
    </xf>
    <xf numFmtId="164" fontId="12" fillId="6" borderId="2" xfId="0" applyNumberFormat="1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20" fillId="5" borderId="2" xfId="0" applyFont="1" applyFill="1" applyBorder="1" applyAlignment="1">
      <alignment horizontal="center" vertical="center"/>
    </xf>
    <xf numFmtId="10" fontId="20" fillId="5" borderId="2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/>
    </xf>
    <xf numFmtId="10" fontId="20" fillId="3" borderId="2" xfId="0" applyNumberFormat="1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/>
    </xf>
    <xf numFmtId="0" fontId="22" fillId="6" borderId="2" xfId="0" applyFont="1" applyFill="1" applyBorder="1" applyAlignment="1">
      <alignment horizontal="left"/>
    </xf>
    <xf numFmtId="0" fontId="20" fillId="5" borderId="2" xfId="0" applyFont="1" applyFill="1" applyBorder="1" applyAlignment="1">
      <alignment horizontal="center"/>
    </xf>
    <xf numFmtId="164" fontId="24" fillId="6" borderId="2" xfId="0" applyNumberFormat="1" applyFont="1" applyFill="1" applyBorder="1" applyAlignment="1">
      <alignment horizontal="center"/>
    </xf>
    <xf numFmtId="0" fontId="20" fillId="3" borderId="2" xfId="0" applyFont="1" applyFill="1" applyBorder="1" applyAlignment="1">
      <alignment horizontal="center"/>
    </xf>
    <xf numFmtId="164" fontId="20" fillId="5" borderId="2" xfId="0" applyNumberFormat="1" applyFont="1" applyFill="1" applyBorder="1" applyAlignment="1">
      <alignment horizontal="center"/>
    </xf>
    <xf numFmtId="164" fontId="20" fillId="3" borderId="2" xfId="0" applyNumberFormat="1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left"/>
    </xf>
    <xf numFmtId="0" fontId="24" fillId="6" borderId="2" xfId="0" applyFont="1" applyFill="1" applyBorder="1" applyAlignment="1">
      <alignment horizontal="center"/>
    </xf>
    <xf numFmtId="10" fontId="20" fillId="5" borderId="2" xfId="0" applyNumberFormat="1" applyFont="1" applyFill="1" applyBorder="1" applyAlignment="1">
      <alignment horizontal="center"/>
    </xf>
    <xf numFmtId="10" fontId="20" fillId="3" borderId="2" xfId="0" applyNumberFormat="1" applyFont="1" applyFill="1" applyBorder="1" applyAlignment="1">
      <alignment horizontal="center"/>
    </xf>
    <xf numFmtId="0" fontId="22" fillId="6" borderId="2" xfId="0" applyFont="1" applyFill="1" applyBorder="1" applyAlignment="1"/>
    <xf numFmtId="0" fontId="22" fillId="4" borderId="2" xfId="0" applyFont="1" applyFill="1" applyBorder="1" applyAlignment="1"/>
    <xf numFmtId="0" fontId="24" fillId="4" borderId="2" xfId="0" applyFont="1" applyFill="1" applyBorder="1" applyAlignment="1">
      <alignment horizontal="right" vertical="center"/>
    </xf>
    <xf numFmtId="0" fontId="30" fillId="6" borderId="2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/>
    </xf>
    <xf numFmtId="0" fontId="32" fillId="5" borderId="2" xfId="0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32" fillId="3" borderId="2" xfId="0" applyFont="1" applyFill="1" applyBorder="1" applyAlignment="1">
      <alignment horizontal="center" vertical="center"/>
    </xf>
    <xf numFmtId="0" fontId="33" fillId="3" borderId="2" xfId="0" applyFont="1" applyFill="1" applyBorder="1" applyAlignment="1">
      <alignment horizontal="center" vertical="center"/>
    </xf>
    <xf numFmtId="0" fontId="34" fillId="3" borderId="2" xfId="0" applyFont="1" applyFill="1" applyBorder="1" applyAlignment="1">
      <alignment horizontal="center" vertical="center"/>
    </xf>
    <xf numFmtId="0" fontId="34" fillId="5" borderId="2" xfId="0" applyFont="1" applyFill="1" applyBorder="1" applyAlignment="1">
      <alignment horizontal="center" vertical="center"/>
    </xf>
    <xf numFmtId="0" fontId="16" fillId="11" borderId="2" xfId="0" applyFont="1" applyFill="1" applyBorder="1" applyAlignment="1">
      <alignment horizontal="center" vertical="center"/>
    </xf>
    <xf numFmtId="0" fontId="33" fillId="11" borderId="2" xfId="0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18" fillId="12" borderId="0" xfId="0" applyFont="1" applyFill="1" applyBorder="1" applyAlignment="1"/>
    <xf numFmtId="0" fontId="19" fillId="3" borderId="0" xfId="0" applyFont="1" applyFill="1" applyBorder="1" applyAlignment="1">
      <alignment horizontal="left" vertical="center"/>
    </xf>
    <xf numFmtId="0" fontId="14" fillId="2" borderId="2" xfId="0" applyFont="1" applyFill="1" applyBorder="1" applyAlignment="1">
      <alignment horizontal="center"/>
    </xf>
    <xf numFmtId="0" fontId="14" fillId="2" borderId="0" xfId="0" applyFont="1" applyFill="1" applyBorder="1" applyAlignment="1">
      <alignment horizontal="left"/>
    </xf>
    <xf numFmtId="0" fontId="23" fillId="3" borderId="0" xfId="0" applyFont="1" applyFill="1" applyBorder="1" applyAlignment="1"/>
    <xf numFmtId="0" fontId="25" fillId="3" borderId="0" xfId="0" applyFont="1" applyFill="1" applyBorder="1" applyAlignment="1"/>
    <xf numFmtId="0" fontId="14" fillId="2" borderId="0" xfId="0" applyFont="1" applyFill="1" applyBorder="1" applyAlignment="1">
      <alignment horizontal="center"/>
    </xf>
    <xf numFmtId="0" fontId="26" fillId="2" borderId="0" xfId="0" applyFont="1" applyFill="1" applyBorder="1" applyAlignment="1">
      <alignment horizontal="center" vertical="center"/>
    </xf>
    <xf numFmtId="0" fontId="27" fillId="2" borderId="0" xfId="0" applyFont="1" applyFill="1" applyBorder="1" applyAlignment="1"/>
    <xf numFmtId="0" fontId="15" fillId="3" borderId="2" xfId="0" applyFont="1" applyFill="1" applyBorder="1" applyAlignment="1">
      <alignment horizontal="center" vertical="center"/>
    </xf>
    <xf numFmtId="0" fontId="15" fillId="12" borderId="2" xfId="0" applyFont="1" applyFill="1" applyBorder="1" applyAlignment="1">
      <alignment horizontal="center" vertical="center"/>
    </xf>
    <xf numFmtId="2" fontId="19" fillId="6" borderId="2" xfId="0" applyNumberFormat="1" applyFont="1" applyFill="1" applyBorder="1" applyAlignment="1">
      <alignment horizontal="center" vertical="center"/>
    </xf>
    <xf numFmtId="164" fontId="15" fillId="12" borderId="2" xfId="0" applyNumberFormat="1" applyFont="1" applyFill="1" applyBorder="1" applyAlignment="1">
      <alignment horizontal="center" vertical="center"/>
    </xf>
    <xf numFmtId="0" fontId="28" fillId="5" borderId="1" xfId="0" applyFont="1" applyFill="1" applyBorder="1" applyAlignment="1">
      <alignment horizontal="left"/>
    </xf>
    <xf numFmtId="0" fontId="29" fillId="3" borderId="0" xfId="0" applyFont="1" applyFill="1" applyBorder="1" applyAlignment="1">
      <alignment horizontal="left" vertical="center"/>
    </xf>
    <xf numFmtId="0" fontId="18" fillId="12" borderId="0" xfId="0" applyFont="1" applyFill="1" applyBorder="1"/>
    <xf numFmtId="0" fontId="31" fillId="2" borderId="0" xfId="0" applyFont="1" applyFill="1" applyBorder="1" applyAlignment="1">
      <alignment horizontal="left" vertical="center"/>
    </xf>
    <xf numFmtId="0" fontId="24" fillId="4" borderId="2" xfId="0" applyFont="1" applyFill="1" applyBorder="1" applyAlignment="1">
      <alignment horizontal="right" vertical="center"/>
    </xf>
    <xf numFmtId="0" fontId="19" fillId="6" borderId="2" xfId="0" applyFont="1" applyFill="1" applyBorder="1" applyAlignment="1">
      <alignment horizontal="center" vertical="center"/>
    </xf>
    <xf numFmtId="0" fontId="31" fillId="2" borderId="2" xfId="0" applyFont="1" applyFill="1" applyBorder="1" applyAlignment="1">
      <alignment horizontal="left" vertical="center"/>
    </xf>
    <xf numFmtId="0" fontId="35" fillId="5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AD7F7"/>
      <rgbColor rgb="FF888888"/>
      <rgbColor rgb="FF9999FF"/>
      <rgbColor rgb="FF7B3F00"/>
      <rgbColor rgb="FFF2F2F2"/>
      <rgbColor rgb="FFCCFFFF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833C00"/>
      <rgbColor rgb="FF993366"/>
      <rgbColor rgb="FF5B2C8D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topLeftCell="A3" workbookViewId="0">
      <selection activeCell="K7" sqref="K7"/>
    </sheetView>
  </sheetViews>
  <sheetFormatPr defaultColWidth="8.6640625" defaultRowHeight="14.4"/>
  <cols>
    <col min="1" max="1" width="8" customWidth="1"/>
    <col min="2" max="3" width="14" customWidth="1"/>
    <col min="4" max="4" width="12" customWidth="1"/>
    <col min="5" max="5" width="14" customWidth="1"/>
    <col min="6" max="6" width="12" customWidth="1"/>
    <col min="7" max="7" width="16" customWidth="1"/>
    <col min="8" max="8" width="12" customWidth="1"/>
    <col min="9" max="10" width="10" customWidth="1"/>
  </cols>
  <sheetData>
    <row r="1" spans="1:10" ht="27.75" customHeight="1">
      <c r="A1" s="3" t="s">
        <v>146</v>
      </c>
      <c r="B1" s="3"/>
      <c r="C1" s="3"/>
      <c r="D1" s="3"/>
      <c r="E1" s="3"/>
      <c r="F1" s="3"/>
      <c r="G1" s="3"/>
      <c r="H1" s="3"/>
      <c r="I1" s="3"/>
      <c r="J1" s="3"/>
    </row>
    <row r="2" spans="1:10" ht="18" customHeight="1">
      <c r="A2" s="94" t="s">
        <v>147</v>
      </c>
      <c r="B2" s="94"/>
      <c r="C2" s="94"/>
      <c r="D2" s="94"/>
      <c r="E2" s="94"/>
      <c r="F2" s="94"/>
      <c r="G2" s="94"/>
      <c r="H2" s="94"/>
      <c r="I2" s="94"/>
      <c r="J2" s="94"/>
    </row>
    <row r="3" spans="1:10" ht="18" customHeight="1">
      <c r="A3" s="66" t="s">
        <v>148</v>
      </c>
      <c r="B3" s="67">
        <v>0.28999999999999998</v>
      </c>
      <c r="C3" s="66" t="s">
        <v>149</v>
      </c>
      <c r="D3" s="67">
        <v>5</v>
      </c>
      <c r="E3" s="67">
        <v>4</v>
      </c>
      <c r="F3" s="67">
        <v>2</v>
      </c>
      <c r="G3" s="67">
        <v>1</v>
      </c>
      <c r="H3" s="95" t="s">
        <v>150</v>
      </c>
      <c r="I3" s="95"/>
      <c r="J3" s="95"/>
    </row>
    <row r="5" spans="1:10" ht="42" customHeight="1">
      <c r="A5" s="68" t="s">
        <v>151</v>
      </c>
      <c r="B5" s="68" t="s">
        <v>152</v>
      </c>
      <c r="C5" s="68" t="s">
        <v>153</v>
      </c>
      <c r="D5" s="68" t="s">
        <v>154</v>
      </c>
      <c r="E5" s="68" t="s">
        <v>155</v>
      </c>
      <c r="F5" s="68" t="s">
        <v>156</v>
      </c>
      <c r="G5" s="68" t="s">
        <v>157</v>
      </c>
      <c r="H5" s="68" t="s">
        <v>158</v>
      </c>
    </row>
    <row r="6" spans="1:10" ht="18" customHeight="1">
      <c r="A6" s="69">
        <v>2014</v>
      </c>
      <c r="B6" s="70">
        <v>533.70000000000005</v>
      </c>
      <c r="C6" s="71" t="s">
        <v>32</v>
      </c>
      <c r="D6" s="71" t="s">
        <v>32</v>
      </c>
      <c r="E6" s="71" t="s">
        <v>32</v>
      </c>
      <c r="F6" s="71" t="s">
        <v>32</v>
      </c>
      <c r="G6" s="71" t="s">
        <v>32</v>
      </c>
      <c r="H6" s="71" t="s">
        <v>32</v>
      </c>
    </row>
    <row r="7" spans="1:10" ht="18" customHeight="1">
      <c r="A7" s="72">
        <v>2015</v>
      </c>
      <c r="B7" s="73">
        <v>520.5</v>
      </c>
      <c r="C7" s="74" t="s">
        <v>32</v>
      </c>
      <c r="D7" s="74" t="s">
        <v>32</v>
      </c>
      <c r="E7" s="74" t="s">
        <v>32</v>
      </c>
      <c r="F7" s="74" t="s">
        <v>32</v>
      </c>
      <c r="G7" s="75">
        <f>ROUND(B6,3)</f>
        <v>533.70000000000005</v>
      </c>
      <c r="H7" s="75">
        <f t="shared" ref="H7:H12" si="0">ABS(B7-G7)</f>
        <v>13.200000000000045</v>
      </c>
    </row>
    <row r="8" spans="1:10" ht="18" customHeight="1">
      <c r="A8" s="69">
        <v>2016</v>
      </c>
      <c r="B8" s="70">
        <v>528.9</v>
      </c>
      <c r="C8" s="71" t="s">
        <v>32</v>
      </c>
      <c r="D8" s="71" t="s">
        <v>32</v>
      </c>
      <c r="E8" s="71" t="s">
        <v>32</v>
      </c>
      <c r="F8" s="71" t="s">
        <v>32</v>
      </c>
      <c r="G8" s="76">
        <f t="shared" ref="G8:G13" si="1">ROUND($B$3*B7+(1-$B$3)*G7,3)</f>
        <v>529.87199999999996</v>
      </c>
      <c r="H8" s="76">
        <f t="shared" si="0"/>
        <v>0.97199999999997999</v>
      </c>
    </row>
    <row r="9" spans="1:10" ht="18" customHeight="1">
      <c r="A9" s="72">
        <v>2017</v>
      </c>
      <c r="B9" s="73">
        <v>524</v>
      </c>
      <c r="C9" s="74" t="s">
        <v>32</v>
      </c>
      <c r="D9" s="74" t="s">
        <v>32</v>
      </c>
      <c r="E9" s="74" t="s">
        <v>32</v>
      </c>
      <c r="F9" s="74" t="s">
        <v>32</v>
      </c>
      <c r="G9" s="75">
        <f t="shared" si="1"/>
        <v>529.59</v>
      </c>
      <c r="H9" s="75">
        <f t="shared" si="0"/>
        <v>5.5900000000000318</v>
      </c>
    </row>
    <row r="10" spans="1:10" ht="18" customHeight="1">
      <c r="A10" s="69">
        <v>2018</v>
      </c>
      <c r="B10" s="70">
        <v>537.70000000000005</v>
      </c>
      <c r="C10" s="76">
        <f>ROUND(AVERAGE(B6:B9),3)</f>
        <v>526.77499999999998</v>
      </c>
      <c r="D10" s="76">
        <f>ABS(B10-C10)</f>
        <v>10.925000000000068</v>
      </c>
      <c r="E10" s="76">
        <f>ROUND(($D$3*B9+$E$3*B8+$F$3*B7+$G$3*B6)/SUM($D$3:$G$3),3)</f>
        <v>525.85799999999995</v>
      </c>
      <c r="F10" s="76">
        <f>ABS(B10-E10)</f>
        <v>11.842000000000098</v>
      </c>
      <c r="G10" s="76">
        <f t="shared" si="1"/>
        <v>527.96900000000005</v>
      </c>
      <c r="H10" s="76">
        <f t="shared" si="0"/>
        <v>9.7309999999999945</v>
      </c>
    </row>
    <row r="11" spans="1:10" ht="18" customHeight="1">
      <c r="A11" s="72">
        <v>2019</v>
      </c>
      <c r="B11" s="73">
        <v>533.5</v>
      </c>
      <c r="C11" s="75">
        <f>ROUND(AVERAGE(B7:B10),3)</f>
        <v>527.77499999999998</v>
      </c>
      <c r="D11" s="75">
        <f>ABS(B11-C11)</f>
        <v>5.7250000000000227</v>
      </c>
      <c r="E11" s="75">
        <f>ROUND(($D$3*B10+$E$3*B9+$F$3*B8+$G$3*B7)/SUM($D$3:$G$3),3)</f>
        <v>530.23299999999995</v>
      </c>
      <c r="F11" s="75">
        <f>ABS(B11-E11)</f>
        <v>3.2670000000000528</v>
      </c>
      <c r="G11" s="75">
        <f t="shared" si="1"/>
        <v>530.79100000000005</v>
      </c>
      <c r="H11" s="75">
        <f t="shared" si="0"/>
        <v>2.7089999999999463</v>
      </c>
    </row>
    <row r="12" spans="1:10" ht="18" customHeight="1">
      <c r="A12" s="69">
        <v>2020</v>
      </c>
      <c r="B12" s="70">
        <v>322.89999999999998</v>
      </c>
      <c r="C12" s="76">
        <f>ROUND(AVERAGE(B8:B11),3)</f>
        <v>531.02499999999998</v>
      </c>
      <c r="D12" s="76">
        <f>ABS(B12-C12)</f>
        <v>208.125</v>
      </c>
      <c r="E12" s="76">
        <f>ROUND(($D$3*B11+$E$3*B10+$F$3*B9+$G$3*B8)/SUM($D$3:$G$3),3)</f>
        <v>532.93299999999999</v>
      </c>
      <c r="F12" s="76">
        <f>ABS(B12-E12)</f>
        <v>210.03300000000002</v>
      </c>
      <c r="G12" s="76">
        <f t="shared" si="1"/>
        <v>531.577</v>
      </c>
      <c r="H12" s="76">
        <f t="shared" si="0"/>
        <v>208.67700000000002</v>
      </c>
    </row>
    <row r="13" spans="1:10" ht="19.5" customHeight="1">
      <c r="A13" s="77" t="s">
        <v>159</v>
      </c>
      <c r="B13" s="78" t="s">
        <v>160</v>
      </c>
      <c r="C13" s="79">
        <f>ROUND(AVERAGE(B9:B12),3)</f>
        <v>479.52499999999998</v>
      </c>
      <c r="D13" s="78" t="s">
        <v>32</v>
      </c>
      <c r="E13" s="79">
        <f>ROUND(($D$3*B12+$E$3*B11+$F$3*B10+$G$3*B9)/SUM($D$3:$G$3),3)</f>
        <v>445.65800000000002</v>
      </c>
      <c r="F13" s="78" t="s">
        <v>32</v>
      </c>
      <c r="G13" s="79">
        <f t="shared" si="1"/>
        <v>471.06099999999998</v>
      </c>
      <c r="H13" s="78" t="s">
        <v>32</v>
      </c>
    </row>
    <row r="15" spans="1:10">
      <c r="A15" s="96" t="s">
        <v>161</v>
      </c>
      <c r="B15" s="96"/>
      <c r="C15" s="96"/>
      <c r="D15" s="96"/>
      <c r="E15" s="96"/>
      <c r="F15" s="96"/>
      <c r="G15" s="96"/>
      <c r="H15" s="96"/>
      <c r="I15" s="96"/>
      <c r="J15" s="96"/>
    </row>
    <row r="16" spans="1:10">
      <c r="A16" s="94" t="s">
        <v>162</v>
      </c>
      <c r="B16" s="94"/>
      <c r="C16" s="94"/>
      <c r="D16" s="94"/>
      <c r="E16" s="94"/>
      <c r="F16" s="94"/>
      <c r="G16" s="94"/>
      <c r="H16" s="94"/>
      <c r="I16" s="94"/>
      <c r="J16" s="94"/>
    </row>
    <row r="17" spans="1:10">
      <c r="A17" s="97" t="s">
        <v>163</v>
      </c>
      <c r="B17" s="97"/>
      <c r="C17" s="98">
        <f>ROUND(AVERAGE(D10:D12),3)</f>
        <v>74.924999999999997</v>
      </c>
      <c r="D17" s="98"/>
      <c r="E17" s="95" t="s">
        <v>164</v>
      </c>
      <c r="F17" s="95"/>
      <c r="G17" s="95"/>
      <c r="H17" s="95"/>
      <c r="I17" s="95"/>
      <c r="J17" s="95"/>
    </row>
    <row r="18" spans="1:10">
      <c r="A18" s="97" t="s">
        <v>165</v>
      </c>
      <c r="B18" s="97"/>
      <c r="C18" s="98">
        <f>ROUND(AVERAGE(F10:F12),3)</f>
        <v>75.046999999999997</v>
      </c>
      <c r="D18" s="98"/>
      <c r="E18" s="95" t="s">
        <v>164</v>
      </c>
      <c r="F18" s="95"/>
      <c r="G18" s="95"/>
      <c r="H18" s="95"/>
      <c r="I18" s="95"/>
      <c r="J18" s="95"/>
    </row>
    <row r="19" spans="1:10">
      <c r="A19" s="97" t="s">
        <v>166</v>
      </c>
      <c r="B19" s="97"/>
      <c r="C19" s="98">
        <f>ROUND(AVERAGE(H10:H12),3)</f>
        <v>73.706000000000003</v>
      </c>
      <c r="D19" s="98"/>
      <c r="E19" s="95" t="s">
        <v>164</v>
      </c>
      <c r="F19" s="95"/>
      <c r="G19" s="95"/>
      <c r="H19" s="95"/>
      <c r="I19" s="95"/>
      <c r="J19" s="95"/>
    </row>
    <row r="21" spans="1:10" ht="19.5" customHeight="1">
      <c r="A21" s="99" t="s">
        <v>167</v>
      </c>
      <c r="B21" s="99"/>
      <c r="C21" s="100" t="str">
        <f>IF(AND(C17&lt;=C18,C17&lt;=C19),"4-yr Moving Average",IF(AND(C18&lt;=C17,C18&lt;=C19),"4-yr Weighted MA","Exponential Smoothing (α=0.29)"))</f>
        <v>Exponential Smoothing (α=0.29)</v>
      </c>
      <c r="D21" s="100"/>
      <c r="E21" s="100"/>
      <c r="F21" s="100"/>
      <c r="G21" s="100"/>
      <c r="H21" s="100"/>
      <c r="I21" s="100"/>
      <c r="J21" s="100"/>
    </row>
  </sheetData>
  <mergeCells count="16">
    <mergeCell ref="A19:B19"/>
    <mergeCell ref="C19:D19"/>
    <mergeCell ref="E19:J19"/>
    <mergeCell ref="A21:B21"/>
    <mergeCell ref="C21:J21"/>
    <mergeCell ref="A17:B17"/>
    <mergeCell ref="C17:D17"/>
    <mergeCell ref="E17:J17"/>
    <mergeCell ref="A18:B18"/>
    <mergeCell ref="C18:D18"/>
    <mergeCell ref="E18:J18"/>
    <mergeCell ref="A1:J1"/>
    <mergeCell ref="A2:J2"/>
    <mergeCell ref="H3:J3"/>
    <mergeCell ref="A15:J15"/>
    <mergeCell ref="A16:J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>
      <selection sqref="A1:L1"/>
    </sheetView>
  </sheetViews>
  <sheetFormatPr defaultColWidth="8.6640625" defaultRowHeight="14.4"/>
  <cols>
    <col min="1" max="1" width="6" style="15" customWidth="1"/>
    <col min="2" max="2" width="14" style="15" customWidth="1"/>
    <col min="3" max="3" width="22" style="15" customWidth="1"/>
    <col min="4" max="4" width="10" style="15" customWidth="1"/>
    <col min="5" max="7" width="8" style="15" customWidth="1"/>
    <col min="8" max="8" width="13" style="15" customWidth="1"/>
    <col min="9" max="9" width="14" style="15" customWidth="1"/>
    <col min="10" max="10" width="13" style="15" customWidth="1"/>
  </cols>
  <sheetData>
    <row r="1" spans="1:12" ht="24.75" customHeight="1">
      <c r="A1" s="3" t="s">
        <v>58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ht="30" customHeight="1">
      <c r="A2" s="2" t="s">
        <v>59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ht="15" customHeight="1">
      <c r="A4" s="1" t="s">
        <v>60</v>
      </c>
      <c r="B4" s="1"/>
      <c r="C4" s="1"/>
      <c r="D4" s="1"/>
    </row>
    <row r="5" spans="1:12" ht="15" customHeight="1">
      <c r="A5" s="45" t="s">
        <v>61</v>
      </c>
      <c r="B5" s="46">
        <v>1.5</v>
      </c>
      <c r="C5" s="80" t="s">
        <v>62</v>
      </c>
      <c r="D5" s="80"/>
    </row>
    <row r="6" spans="1:12" ht="15" customHeight="1">
      <c r="A6" s="45" t="s">
        <v>63</v>
      </c>
      <c r="B6" s="46">
        <v>0.5</v>
      </c>
      <c r="C6" s="80" t="s">
        <v>64</v>
      </c>
      <c r="D6" s="80"/>
    </row>
    <row r="7" spans="1:12" ht="15" customHeight="1">
      <c r="A7" s="45" t="s">
        <v>65</v>
      </c>
      <c r="B7" s="46">
        <v>14.4</v>
      </c>
      <c r="C7" s="80" t="s">
        <v>66</v>
      </c>
      <c r="D7" s="80"/>
    </row>
    <row r="8" spans="1:12" ht="15" customHeight="1">
      <c r="A8" s="45" t="s">
        <v>67</v>
      </c>
      <c r="B8" s="46">
        <v>52.6</v>
      </c>
      <c r="C8" s="80" t="s">
        <v>68</v>
      </c>
      <c r="D8" s="80"/>
    </row>
    <row r="9" spans="1:12" ht="15" customHeight="1">
      <c r="A9" s="45" t="s">
        <v>69</v>
      </c>
      <c r="B9" s="46">
        <v>36.700000000000003</v>
      </c>
      <c r="C9" s="80" t="s">
        <v>70</v>
      </c>
      <c r="D9" s="80"/>
    </row>
    <row r="11" spans="1:12" ht="19.5" customHeight="1">
      <c r="A11" s="81" t="s">
        <v>71</v>
      </c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</row>
    <row r="13" spans="1:12" ht="15" customHeight="1">
      <c r="A13" s="1" t="s">
        <v>72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5" customHeight="1">
      <c r="A14" s="47" t="s">
        <v>29</v>
      </c>
      <c r="B14" s="47" t="s">
        <v>47</v>
      </c>
      <c r="C14" s="47" t="s">
        <v>48</v>
      </c>
      <c r="D14" s="47" t="s">
        <v>73</v>
      </c>
      <c r="E14" s="47" t="s">
        <v>74</v>
      </c>
      <c r="F14" s="47" t="s">
        <v>75</v>
      </c>
      <c r="G14" s="47" t="s">
        <v>76</v>
      </c>
      <c r="H14" s="47" t="s">
        <v>77</v>
      </c>
      <c r="I14" s="47" t="s">
        <v>78</v>
      </c>
      <c r="J14" s="47" t="s">
        <v>79</v>
      </c>
    </row>
    <row r="15" spans="1:12" ht="15" customHeight="1">
      <c r="A15" s="48">
        <v>1</v>
      </c>
      <c r="B15" s="48" t="s">
        <v>49</v>
      </c>
      <c r="C15" s="48" t="s">
        <v>50</v>
      </c>
      <c r="D15" s="48">
        <v>14</v>
      </c>
      <c r="E15" s="48">
        <v>1</v>
      </c>
      <c r="F15" s="48">
        <v>0</v>
      </c>
      <c r="G15" s="48">
        <v>0</v>
      </c>
      <c r="H15" s="48">
        <f t="shared" ref="H15:H34" si="0">ROUND($B$5 + $B$6*A15 + $B$7*E15 + $B$8*F15 + $B$9*G15, 1)</f>
        <v>16.399999999999999</v>
      </c>
      <c r="I15" s="48">
        <f t="shared" ref="I15:I34" si="1">ABS(D15-H15)</f>
        <v>2.3999999999999986</v>
      </c>
      <c r="J15" s="49">
        <f t="shared" ref="J15:J34" si="2">ABS(D15-($B$5+$B$6*A15+$B$7*E15+$B$8*F15+$B$9*G15))/D15</f>
        <v>0.17142857142857132</v>
      </c>
    </row>
    <row r="16" spans="1:12" ht="15" customHeight="1">
      <c r="A16" s="50">
        <v>2</v>
      </c>
      <c r="B16" s="50" t="s">
        <v>49</v>
      </c>
      <c r="C16" s="50" t="s">
        <v>51</v>
      </c>
      <c r="D16" s="50">
        <v>69</v>
      </c>
      <c r="E16" s="50">
        <v>0</v>
      </c>
      <c r="F16" s="50">
        <v>1</v>
      </c>
      <c r="G16" s="50">
        <v>0</v>
      </c>
      <c r="H16" s="50">
        <f t="shared" si="0"/>
        <v>55.1</v>
      </c>
      <c r="I16" s="50">
        <f t="shared" si="1"/>
        <v>13.899999999999999</v>
      </c>
      <c r="J16" s="51">
        <f t="shared" si="2"/>
        <v>0.20144927536231882</v>
      </c>
    </row>
    <row r="17" spans="1:10" ht="15" customHeight="1">
      <c r="A17" s="48">
        <v>3</v>
      </c>
      <c r="B17" s="48" t="s">
        <v>49</v>
      </c>
      <c r="C17" s="48" t="s">
        <v>52</v>
      </c>
      <c r="D17" s="48">
        <v>35</v>
      </c>
      <c r="E17" s="48">
        <v>0</v>
      </c>
      <c r="F17" s="48">
        <v>0</v>
      </c>
      <c r="G17" s="48">
        <v>1</v>
      </c>
      <c r="H17" s="48">
        <f t="shared" si="0"/>
        <v>39.700000000000003</v>
      </c>
      <c r="I17" s="48">
        <f t="shared" si="1"/>
        <v>4.7000000000000028</v>
      </c>
      <c r="J17" s="49">
        <f t="shared" si="2"/>
        <v>0.13428571428571437</v>
      </c>
    </row>
    <row r="18" spans="1:10" ht="15" customHeight="1">
      <c r="A18" s="50">
        <v>4</v>
      </c>
      <c r="B18" s="50" t="s">
        <v>49</v>
      </c>
      <c r="C18" s="50" t="s">
        <v>53</v>
      </c>
      <c r="D18" s="50">
        <v>6</v>
      </c>
      <c r="E18" s="50">
        <v>0</v>
      </c>
      <c r="F18" s="50">
        <v>0</v>
      </c>
      <c r="G18" s="50">
        <v>0</v>
      </c>
      <c r="H18" s="50">
        <f t="shared" si="0"/>
        <v>3.5</v>
      </c>
      <c r="I18" s="50">
        <f t="shared" si="1"/>
        <v>2.5</v>
      </c>
      <c r="J18" s="51">
        <f t="shared" si="2"/>
        <v>0.41666666666666669</v>
      </c>
    </row>
    <row r="19" spans="1:10" ht="15" customHeight="1">
      <c r="A19" s="48">
        <v>5</v>
      </c>
      <c r="B19" s="48" t="s">
        <v>54</v>
      </c>
      <c r="C19" s="48" t="s">
        <v>50</v>
      </c>
      <c r="D19" s="48">
        <v>14</v>
      </c>
      <c r="E19" s="48">
        <v>1</v>
      </c>
      <c r="F19" s="48">
        <v>0</v>
      </c>
      <c r="G19" s="48">
        <v>0</v>
      </c>
      <c r="H19" s="48">
        <f t="shared" si="0"/>
        <v>18.399999999999999</v>
      </c>
      <c r="I19" s="48">
        <f t="shared" si="1"/>
        <v>4.3999999999999986</v>
      </c>
      <c r="J19" s="49">
        <f t="shared" si="2"/>
        <v>0.31428571428571417</v>
      </c>
    </row>
    <row r="20" spans="1:10" ht="15" customHeight="1">
      <c r="A20" s="50">
        <v>6</v>
      </c>
      <c r="B20" s="50" t="s">
        <v>54</v>
      </c>
      <c r="C20" s="50" t="s">
        <v>51</v>
      </c>
      <c r="D20" s="50">
        <v>49</v>
      </c>
      <c r="E20" s="50">
        <v>0</v>
      </c>
      <c r="F20" s="50">
        <v>1</v>
      </c>
      <c r="G20" s="50">
        <v>0</v>
      </c>
      <c r="H20" s="50">
        <f t="shared" si="0"/>
        <v>57.1</v>
      </c>
      <c r="I20" s="50">
        <f t="shared" si="1"/>
        <v>8.1000000000000014</v>
      </c>
      <c r="J20" s="51">
        <f t="shared" si="2"/>
        <v>0.16530612244897963</v>
      </c>
    </row>
    <row r="21" spans="1:10" ht="15" customHeight="1">
      <c r="A21" s="48">
        <v>7</v>
      </c>
      <c r="B21" s="48" t="s">
        <v>54</v>
      </c>
      <c r="C21" s="48" t="s">
        <v>52</v>
      </c>
      <c r="D21" s="48">
        <v>38</v>
      </c>
      <c r="E21" s="48">
        <v>0</v>
      </c>
      <c r="F21" s="48">
        <v>0</v>
      </c>
      <c r="G21" s="48">
        <v>1</v>
      </c>
      <c r="H21" s="48">
        <f t="shared" si="0"/>
        <v>41.7</v>
      </c>
      <c r="I21" s="48">
        <f t="shared" si="1"/>
        <v>3.7000000000000028</v>
      </c>
      <c r="J21" s="49">
        <f t="shared" si="2"/>
        <v>9.736842105263166E-2</v>
      </c>
    </row>
    <row r="22" spans="1:10" ht="15" customHeight="1">
      <c r="A22" s="50">
        <v>8</v>
      </c>
      <c r="B22" s="50" t="s">
        <v>54</v>
      </c>
      <c r="C22" s="50" t="s">
        <v>53</v>
      </c>
      <c r="D22" s="50">
        <v>5</v>
      </c>
      <c r="E22" s="50">
        <v>0</v>
      </c>
      <c r="F22" s="50">
        <v>0</v>
      </c>
      <c r="G22" s="50">
        <v>0</v>
      </c>
      <c r="H22" s="50">
        <f t="shared" si="0"/>
        <v>5.5</v>
      </c>
      <c r="I22" s="50">
        <f t="shared" si="1"/>
        <v>0.5</v>
      </c>
      <c r="J22" s="51">
        <f t="shared" si="2"/>
        <v>0.1</v>
      </c>
    </row>
    <row r="23" spans="1:10" ht="15" customHeight="1">
      <c r="A23" s="48">
        <v>9</v>
      </c>
      <c r="B23" s="48" t="s">
        <v>55</v>
      </c>
      <c r="C23" s="48" t="s">
        <v>50</v>
      </c>
      <c r="D23" s="48">
        <v>22</v>
      </c>
      <c r="E23" s="48">
        <v>1</v>
      </c>
      <c r="F23" s="48">
        <v>0</v>
      </c>
      <c r="G23" s="48">
        <v>0</v>
      </c>
      <c r="H23" s="48">
        <f t="shared" si="0"/>
        <v>20.399999999999999</v>
      </c>
      <c r="I23" s="48">
        <f t="shared" si="1"/>
        <v>1.6000000000000014</v>
      </c>
      <c r="J23" s="49">
        <f t="shared" si="2"/>
        <v>7.2727272727272793E-2</v>
      </c>
    </row>
    <row r="24" spans="1:10" ht="15" customHeight="1">
      <c r="A24" s="50">
        <v>10</v>
      </c>
      <c r="B24" s="50" t="s">
        <v>55</v>
      </c>
      <c r="C24" s="50" t="s">
        <v>51</v>
      </c>
      <c r="D24" s="50">
        <v>65</v>
      </c>
      <c r="E24" s="50">
        <v>0</v>
      </c>
      <c r="F24" s="50">
        <v>1</v>
      </c>
      <c r="G24" s="50">
        <v>0</v>
      </c>
      <c r="H24" s="50">
        <f t="shared" si="0"/>
        <v>59.1</v>
      </c>
      <c r="I24" s="50">
        <f t="shared" si="1"/>
        <v>5.8999999999999986</v>
      </c>
      <c r="J24" s="51">
        <f t="shared" si="2"/>
        <v>9.0769230769230741E-2</v>
      </c>
    </row>
    <row r="25" spans="1:10" ht="15" customHeight="1">
      <c r="A25" s="48">
        <v>11</v>
      </c>
      <c r="B25" s="48" t="s">
        <v>55</v>
      </c>
      <c r="C25" s="48" t="s">
        <v>52</v>
      </c>
      <c r="D25" s="48">
        <v>35</v>
      </c>
      <c r="E25" s="48">
        <v>0</v>
      </c>
      <c r="F25" s="48">
        <v>0</v>
      </c>
      <c r="G25" s="48">
        <v>1</v>
      </c>
      <c r="H25" s="48">
        <f t="shared" si="0"/>
        <v>43.7</v>
      </c>
      <c r="I25" s="48">
        <f t="shared" si="1"/>
        <v>8.7000000000000028</v>
      </c>
      <c r="J25" s="49">
        <f t="shared" si="2"/>
        <v>0.24857142857142867</v>
      </c>
    </row>
    <row r="26" spans="1:10" ht="15" customHeight="1">
      <c r="A26" s="50">
        <v>12</v>
      </c>
      <c r="B26" s="50" t="s">
        <v>55</v>
      </c>
      <c r="C26" s="50" t="s">
        <v>53</v>
      </c>
      <c r="D26" s="50">
        <v>7</v>
      </c>
      <c r="E26" s="50">
        <v>0</v>
      </c>
      <c r="F26" s="50">
        <v>0</v>
      </c>
      <c r="G26" s="50">
        <v>0</v>
      </c>
      <c r="H26" s="50">
        <f t="shared" si="0"/>
        <v>7.5</v>
      </c>
      <c r="I26" s="50">
        <f t="shared" si="1"/>
        <v>0.5</v>
      </c>
      <c r="J26" s="51">
        <f t="shared" si="2"/>
        <v>7.1428571428571425E-2</v>
      </c>
    </row>
    <row r="27" spans="1:10" ht="15" customHeight="1">
      <c r="A27" s="48">
        <v>13</v>
      </c>
      <c r="B27" s="48" t="s">
        <v>56</v>
      </c>
      <c r="C27" s="48" t="s">
        <v>50</v>
      </c>
      <c r="D27" s="48">
        <v>27</v>
      </c>
      <c r="E27" s="48">
        <v>1</v>
      </c>
      <c r="F27" s="48">
        <v>0</v>
      </c>
      <c r="G27" s="48">
        <v>0</v>
      </c>
      <c r="H27" s="48">
        <f t="shared" si="0"/>
        <v>22.4</v>
      </c>
      <c r="I27" s="48">
        <f t="shared" si="1"/>
        <v>4.6000000000000014</v>
      </c>
      <c r="J27" s="49">
        <f t="shared" si="2"/>
        <v>0.17037037037037042</v>
      </c>
    </row>
    <row r="28" spans="1:10" ht="15" customHeight="1">
      <c r="A28" s="50">
        <v>14</v>
      </c>
      <c r="B28" s="50" t="s">
        <v>56</v>
      </c>
      <c r="C28" s="50" t="s">
        <v>51</v>
      </c>
      <c r="D28" s="50">
        <v>51</v>
      </c>
      <c r="E28" s="50">
        <v>0</v>
      </c>
      <c r="F28" s="50">
        <v>1</v>
      </c>
      <c r="G28" s="50">
        <v>0</v>
      </c>
      <c r="H28" s="50">
        <f t="shared" si="0"/>
        <v>61.1</v>
      </c>
      <c r="I28" s="50">
        <f t="shared" si="1"/>
        <v>10.100000000000001</v>
      </c>
      <c r="J28" s="51">
        <f t="shared" si="2"/>
        <v>0.19803921568627453</v>
      </c>
    </row>
    <row r="29" spans="1:10" ht="15" customHeight="1">
      <c r="A29" s="48">
        <v>15</v>
      </c>
      <c r="B29" s="48" t="s">
        <v>56</v>
      </c>
      <c r="C29" s="48" t="s">
        <v>52</v>
      </c>
      <c r="D29" s="48">
        <v>61</v>
      </c>
      <c r="E29" s="48">
        <v>0</v>
      </c>
      <c r="F29" s="48">
        <v>0</v>
      </c>
      <c r="G29" s="48">
        <v>1</v>
      </c>
      <c r="H29" s="48">
        <f t="shared" si="0"/>
        <v>45.7</v>
      </c>
      <c r="I29" s="48">
        <f t="shared" si="1"/>
        <v>15.299999999999997</v>
      </c>
      <c r="J29" s="49">
        <f t="shared" si="2"/>
        <v>0.25081967213114748</v>
      </c>
    </row>
    <row r="30" spans="1:10" ht="15" customHeight="1">
      <c r="A30" s="50">
        <v>16</v>
      </c>
      <c r="B30" s="50" t="s">
        <v>56</v>
      </c>
      <c r="C30" s="50" t="s">
        <v>53</v>
      </c>
      <c r="D30" s="50">
        <v>9</v>
      </c>
      <c r="E30" s="50">
        <v>0</v>
      </c>
      <c r="F30" s="50">
        <v>0</v>
      </c>
      <c r="G30" s="50">
        <v>0</v>
      </c>
      <c r="H30" s="50">
        <f t="shared" si="0"/>
        <v>9.5</v>
      </c>
      <c r="I30" s="50">
        <f t="shared" si="1"/>
        <v>0.5</v>
      </c>
      <c r="J30" s="51">
        <f t="shared" si="2"/>
        <v>5.5555555555555552E-2</v>
      </c>
    </row>
    <row r="31" spans="1:10" ht="15" customHeight="1">
      <c r="A31" s="48">
        <v>17</v>
      </c>
      <c r="B31" s="48" t="s">
        <v>57</v>
      </c>
      <c r="C31" s="48" t="s">
        <v>50</v>
      </c>
      <c r="D31" s="48">
        <v>24</v>
      </c>
      <c r="E31" s="48">
        <v>1</v>
      </c>
      <c r="F31" s="48">
        <v>0</v>
      </c>
      <c r="G31" s="48">
        <v>0</v>
      </c>
      <c r="H31" s="48">
        <f t="shared" si="0"/>
        <v>24.4</v>
      </c>
      <c r="I31" s="48">
        <f t="shared" si="1"/>
        <v>0.39999999999999858</v>
      </c>
      <c r="J31" s="49">
        <f t="shared" si="2"/>
        <v>1.6666666666666607E-2</v>
      </c>
    </row>
    <row r="32" spans="1:10" ht="15" customHeight="1">
      <c r="A32" s="50">
        <v>18</v>
      </c>
      <c r="B32" s="50" t="s">
        <v>57</v>
      </c>
      <c r="C32" s="50" t="s">
        <v>51</v>
      </c>
      <c r="D32" s="50">
        <v>60</v>
      </c>
      <c r="E32" s="50">
        <v>0</v>
      </c>
      <c r="F32" s="50">
        <v>1</v>
      </c>
      <c r="G32" s="50">
        <v>0</v>
      </c>
      <c r="H32" s="50">
        <f t="shared" si="0"/>
        <v>63.1</v>
      </c>
      <c r="I32" s="50">
        <f t="shared" si="1"/>
        <v>3.1000000000000014</v>
      </c>
      <c r="J32" s="51">
        <f t="shared" si="2"/>
        <v>5.1666666666666687E-2</v>
      </c>
    </row>
    <row r="33" spans="1:12" ht="15" customHeight="1">
      <c r="A33" s="48">
        <v>19</v>
      </c>
      <c r="B33" s="48" t="s">
        <v>57</v>
      </c>
      <c r="C33" s="48" t="s">
        <v>52</v>
      </c>
      <c r="D33" s="48">
        <v>48</v>
      </c>
      <c r="E33" s="48">
        <v>0</v>
      </c>
      <c r="F33" s="48">
        <v>0</v>
      </c>
      <c r="G33" s="48">
        <v>1</v>
      </c>
      <c r="H33" s="48">
        <f t="shared" si="0"/>
        <v>47.7</v>
      </c>
      <c r="I33" s="48">
        <f t="shared" si="1"/>
        <v>0.29999999999999716</v>
      </c>
      <c r="J33" s="49">
        <f t="shared" si="2"/>
        <v>6.2499999999999405E-3</v>
      </c>
    </row>
    <row r="34" spans="1:12" ht="15" customHeight="1">
      <c r="A34" s="50">
        <v>20</v>
      </c>
      <c r="B34" s="50" t="s">
        <v>57</v>
      </c>
      <c r="C34" s="50" t="s">
        <v>53</v>
      </c>
      <c r="D34" s="50">
        <v>9</v>
      </c>
      <c r="E34" s="50">
        <v>0</v>
      </c>
      <c r="F34" s="50">
        <v>0</v>
      </c>
      <c r="G34" s="50">
        <v>0</v>
      </c>
      <c r="H34" s="50">
        <f t="shared" si="0"/>
        <v>11.5</v>
      </c>
      <c r="I34" s="50">
        <f t="shared" si="1"/>
        <v>2.5</v>
      </c>
      <c r="J34" s="51">
        <f t="shared" si="2"/>
        <v>0.27777777777777779</v>
      </c>
    </row>
    <row r="35" spans="1:12" ht="15" customHeight="1">
      <c r="A35" s="82" t="s">
        <v>80</v>
      </c>
      <c r="B35" s="82"/>
      <c r="C35" s="82"/>
      <c r="D35" s="82"/>
      <c r="E35" s="82"/>
      <c r="F35" s="82"/>
      <c r="G35" s="82"/>
      <c r="H35" s="52">
        <f>ROUND(AVERAGE(J15:J34)*100,2)</f>
        <v>15.56</v>
      </c>
      <c r="I35" s="53" t="s">
        <v>81</v>
      </c>
    </row>
    <row r="37" spans="1:12" ht="15" customHeight="1">
      <c r="A37" s="83" t="s">
        <v>82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</row>
    <row r="38" spans="1:12" ht="15" customHeight="1">
      <c r="A38" s="44" t="s">
        <v>29</v>
      </c>
      <c r="B38" s="44" t="s">
        <v>47</v>
      </c>
      <c r="C38" s="44" t="s">
        <v>48</v>
      </c>
      <c r="D38" s="44" t="s">
        <v>83</v>
      </c>
      <c r="E38" s="44" t="s">
        <v>84</v>
      </c>
      <c r="F38" s="44" t="s">
        <v>85</v>
      </c>
      <c r="G38" s="44" t="s">
        <v>77</v>
      </c>
    </row>
    <row r="39" spans="1:12" ht="15" customHeight="1">
      <c r="A39" s="48">
        <v>29</v>
      </c>
      <c r="B39" s="48" t="s">
        <v>55</v>
      </c>
      <c r="C39" s="48" t="s">
        <v>50</v>
      </c>
      <c r="D39" s="48">
        <v>1</v>
      </c>
      <c r="E39" s="48">
        <v>0</v>
      </c>
      <c r="F39" s="48">
        <v>0</v>
      </c>
      <c r="G39" s="48">
        <f>ROUND($B$5+$B$6*A39+$B$7*D39+$B$8*E39+$B$9*F39,1)</f>
        <v>30.4</v>
      </c>
    </row>
    <row r="40" spans="1:12" ht="15" customHeight="1">
      <c r="A40" s="50">
        <v>30</v>
      </c>
      <c r="B40" s="50" t="s">
        <v>55</v>
      </c>
      <c r="C40" s="50" t="s">
        <v>51</v>
      </c>
      <c r="D40" s="50">
        <v>0</v>
      </c>
      <c r="E40" s="50">
        <v>1</v>
      </c>
      <c r="F40" s="50">
        <v>0</v>
      </c>
      <c r="G40" s="50">
        <f>ROUND($B$5+$B$6*A40+$B$7*D40+$B$8*E40+$B$9*F40,1)</f>
        <v>69.099999999999994</v>
      </c>
    </row>
    <row r="41" spans="1:12" ht="15" customHeight="1">
      <c r="A41" s="48">
        <v>31</v>
      </c>
      <c r="B41" s="48" t="s">
        <v>55</v>
      </c>
      <c r="C41" s="48" t="s">
        <v>52</v>
      </c>
      <c r="D41" s="48">
        <v>0</v>
      </c>
      <c r="E41" s="48">
        <v>0</v>
      </c>
      <c r="F41" s="48">
        <v>1</v>
      </c>
      <c r="G41" s="48">
        <f>ROUND($B$5+$B$6*A41+$B$7*D41+$B$8*E41+$B$9*F41,1)</f>
        <v>53.7</v>
      </c>
    </row>
    <row r="42" spans="1:12" ht="15" customHeight="1">
      <c r="A42" s="50">
        <v>32</v>
      </c>
      <c r="B42" s="50" t="s">
        <v>55</v>
      </c>
      <c r="C42" s="50" t="s">
        <v>53</v>
      </c>
      <c r="D42" s="50">
        <v>0</v>
      </c>
      <c r="E42" s="50">
        <v>0</v>
      </c>
      <c r="F42" s="50">
        <v>0</v>
      </c>
      <c r="G42" s="50">
        <f>ROUND($B$5+$B$6*A42+$B$7*D42+$B$8*E42+$B$9*F42,1)</f>
        <v>17.5</v>
      </c>
    </row>
  </sheetData>
  <mergeCells count="12">
    <mergeCell ref="A35:G35"/>
    <mergeCell ref="A37:L37"/>
    <mergeCell ref="C7:D7"/>
    <mergeCell ref="C8:D8"/>
    <mergeCell ref="C9:D9"/>
    <mergeCell ref="A11:L11"/>
    <mergeCell ref="A13:L13"/>
    <mergeCell ref="A1:L1"/>
    <mergeCell ref="A2:L2"/>
    <mergeCell ref="A4:D4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93"/>
  <sheetViews>
    <sheetView workbookViewId="0">
      <selection activeCell="K18" sqref="K18"/>
    </sheetView>
  </sheetViews>
  <sheetFormatPr defaultColWidth="8.6640625" defaultRowHeight="14.4"/>
  <cols>
    <col min="1" max="1" width="6" style="15" customWidth="1"/>
    <col min="2" max="2" width="14" style="15" customWidth="1"/>
    <col min="3" max="3" width="22" style="15" customWidth="1"/>
    <col min="4" max="4" width="10" style="15" customWidth="1"/>
    <col min="5" max="5" width="8" style="15" customWidth="1"/>
    <col min="6" max="6" width="12" style="15" customWidth="1"/>
    <col min="7" max="7" width="14" style="15" customWidth="1"/>
    <col min="8" max="8" width="16" style="15" customWidth="1"/>
    <col min="9" max="9" width="14" style="15" customWidth="1"/>
    <col min="10" max="10" width="12" style="15" customWidth="1"/>
  </cols>
  <sheetData>
    <row r="1" spans="1:14" ht="24.75" customHeight="1">
      <c r="A1" s="3" t="s">
        <v>86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3" spans="1:14" ht="15" customHeight="1">
      <c r="A3" s="83" t="s">
        <v>87</v>
      </c>
      <c r="B3" s="83"/>
      <c r="C3" s="83"/>
      <c r="D3" s="83"/>
      <c r="E3" s="83"/>
      <c r="F3" s="83"/>
      <c r="G3" s="83"/>
      <c r="H3" s="83"/>
    </row>
    <row r="4" spans="1:14" ht="30" customHeight="1">
      <c r="A4" s="47" t="s">
        <v>29</v>
      </c>
      <c r="B4" s="47" t="s">
        <v>47</v>
      </c>
      <c r="C4" s="47" t="s">
        <v>48</v>
      </c>
      <c r="D4" s="47" t="s">
        <v>88</v>
      </c>
      <c r="E4" s="47" t="s">
        <v>89</v>
      </c>
      <c r="F4" s="47" t="s">
        <v>90</v>
      </c>
      <c r="G4" s="47" t="s">
        <v>91</v>
      </c>
      <c r="H4" s="47" t="s">
        <v>92</v>
      </c>
    </row>
    <row r="5" spans="1:14" ht="15" customHeight="1">
      <c r="A5" s="48">
        <v>1</v>
      </c>
      <c r="B5" s="48" t="s">
        <v>49</v>
      </c>
      <c r="C5" s="48" t="s">
        <v>50</v>
      </c>
      <c r="D5" s="48">
        <v>14</v>
      </c>
      <c r="E5" s="48" t="s">
        <v>93</v>
      </c>
      <c r="F5" s="48" t="s">
        <v>93</v>
      </c>
      <c r="G5" s="48" t="s">
        <v>93</v>
      </c>
      <c r="H5" s="48" t="s">
        <v>93</v>
      </c>
    </row>
    <row r="6" spans="1:14" ht="15" customHeight="1">
      <c r="A6" s="50">
        <v>2</v>
      </c>
      <c r="B6" s="50" t="s">
        <v>49</v>
      </c>
      <c r="C6" s="50" t="s">
        <v>51</v>
      </c>
      <c r="D6" s="50">
        <v>69</v>
      </c>
      <c r="E6" s="50" t="s">
        <v>93</v>
      </c>
      <c r="F6" s="50" t="s">
        <v>93</v>
      </c>
      <c r="G6" s="50" t="s">
        <v>93</v>
      </c>
      <c r="H6" s="50" t="s">
        <v>93</v>
      </c>
    </row>
    <row r="7" spans="1:14" ht="15" customHeight="1">
      <c r="A7" s="48">
        <v>3</v>
      </c>
      <c r="B7" s="48" t="s">
        <v>49</v>
      </c>
      <c r="C7" s="48" t="s">
        <v>52</v>
      </c>
      <c r="D7" s="48">
        <v>35</v>
      </c>
      <c r="E7" s="48">
        <f t="shared" ref="E7:E22" si="0">AVERAGE(D5:D8)</f>
        <v>31</v>
      </c>
      <c r="F7" s="48">
        <f t="shared" ref="F7:F22" si="1">AVERAGE(D6:D9)</f>
        <v>31</v>
      </c>
      <c r="G7" s="48">
        <f t="shared" ref="G7:G22" si="2">ROUND(AVERAGE(E7,F7),1)</f>
        <v>31</v>
      </c>
      <c r="H7" s="48">
        <f t="shared" ref="H7:H22" si="3">D7/G7</f>
        <v>1.1290322580645162</v>
      </c>
    </row>
    <row r="8" spans="1:14" ht="15" customHeight="1">
      <c r="A8" s="50">
        <v>4</v>
      </c>
      <c r="B8" s="50" t="s">
        <v>49</v>
      </c>
      <c r="C8" s="50" t="s">
        <v>53</v>
      </c>
      <c r="D8" s="50">
        <v>6</v>
      </c>
      <c r="E8" s="50">
        <f t="shared" si="0"/>
        <v>31</v>
      </c>
      <c r="F8" s="50">
        <f t="shared" si="1"/>
        <v>26</v>
      </c>
      <c r="G8" s="50">
        <f t="shared" si="2"/>
        <v>28.5</v>
      </c>
      <c r="H8" s="50">
        <f t="shared" si="3"/>
        <v>0.21052631578947367</v>
      </c>
    </row>
    <row r="9" spans="1:14" ht="15" customHeight="1">
      <c r="A9" s="48">
        <v>5</v>
      </c>
      <c r="B9" s="48" t="s">
        <v>54</v>
      </c>
      <c r="C9" s="48" t="s">
        <v>50</v>
      </c>
      <c r="D9" s="48">
        <v>14</v>
      </c>
      <c r="E9" s="48">
        <f t="shared" si="0"/>
        <v>26</v>
      </c>
      <c r="F9" s="48">
        <f t="shared" si="1"/>
        <v>26.75</v>
      </c>
      <c r="G9" s="48">
        <f t="shared" si="2"/>
        <v>26.4</v>
      </c>
      <c r="H9" s="48">
        <f t="shared" si="3"/>
        <v>0.53030303030303028</v>
      </c>
    </row>
    <row r="10" spans="1:14" ht="15" customHeight="1">
      <c r="A10" s="50">
        <v>6</v>
      </c>
      <c r="B10" s="50" t="s">
        <v>54</v>
      </c>
      <c r="C10" s="50" t="s">
        <v>51</v>
      </c>
      <c r="D10" s="50">
        <v>49</v>
      </c>
      <c r="E10" s="50">
        <f t="shared" si="0"/>
        <v>26.75</v>
      </c>
      <c r="F10" s="50">
        <f t="shared" si="1"/>
        <v>26.5</v>
      </c>
      <c r="G10" s="50">
        <f t="shared" si="2"/>
        <v>26.6</v>
      </c>
      <c r="H10" s="50">
        <f t="shared" si="3"/>
        <v>1.8421052631578947</v>
      </c>
    </row>
    <row r="11" spans="1:14" ht="15" customHeight="1">
      <c r="A11" s="48">
        <v>7</v>
      </c>
      <c r="B11" s="48" t="s">
        <v>54</v>
      </c>
      <c r="C11" s="48" t="s">
        <v>52</v>
      </c>
      <c r="D11" s="48">
        <v>38</v>
      </c>
      <c r="E11" s="48">
        <f t="shared" si="0"/>
        <v>26.5</v>
      </c>
      <c r="F11" s="48">
        <f t="shared" si="1"/>
        <v>28.5</v>
      </c>
      <c r="G11" s="48">
        <f t="shared" si="2"/>
        <v>27.5</v>
      </c>
      <c r="H11" s="48">
        <f t="shared" si="3"/>
        <v>1.3818181818181818</v>
      </c>
    </row>
    <row r="12" spans="1:14" ht="15" customHeight="1">
      <c r="A12" s="50">
        <v>8</v>
      </c>
      <c r="B12" s="50" t="s">
        <v>54</v>
      </c>
      <c r="C12" s="50" t="s">
        <v>53</v>
      </c>
      <c r="D12" s="50">
        <v>5</v>
      </c>
      <c r="E12" s="50">
        <f t="shared" si="0"/>
        <v>28.5</v>
      </c>
      <c r="F12" s="50">
        <f t="shared" si="1"/>
        <v>32.5</v>
      </c>
      <c r="G12" s="50">
        <f t="shared" si="2"/>
        <v>30.5</v>
      </c>
      <c r="H12" s="50">
        <f t="shared" si="3"/>
        <v>0.16393442622950818</v>
      </c>
    </row>
    <row r="13" spans="1:14" ht="15" customHeight="1">
      <c r="A13" s="48">
        <v>9</v>
      </c>
      <c r="B13" s="48" t="s">
        <v>55</v>
      </c>
      <c r="C13" s="48" t="s">
        <v>50</v>
      </c>
      <c r="D13" s="48">
        <v>22</v>
      </c>
      <c r="E13" s="48">
        <f t="shared" si="0"/>
        <v>32.5</v>
      </c>
      <c r="F13" s="48">
        <f t="shared" si="1"/>
        <v>31.75</v>
      </c>
      <c r="G13" s="48">
        <f t="shared" si="2"/>
        <v>32.1</v>
      </c>
      <c r="H13" s="48">
        <f t="shared" si="3"/>
        <v>0.68535825545171336</v>
      </c>
    </row>
    <row r="14" spans="1:14" ht="15" customHeight="1">
      <c r="A14" s="50">
        <v>10</v>
      </c>
      <c r="B14" s="50" t="s">
        <v>55</v>
      </c>
      <c r="C14" s="50" t="s">
        <v>51</v>
      </c>
      <c r="D14" s="50">
        <v>65</v>
      </c>
      <c r="E14" s="50">
        <f t="shared" si="0"/>
        <v>31.75</v>
      </c>
      <c r="F14" s="50">
        <f t="shared" si="1"/>
        <v>32.25</v>
      </c>
      <c r="G14" s="50">
        <f t="shared" si="2"/>
        <v>32</v>
      </c>
      <c r="H14" s="50">
        <f t="shared" si="3"/>
        <v>2.03125</v>
      </c>
    </row>
    <row r="15" spans="1:14" ht="15" customHeight="1">
      <c r="A15" s="48">
        <v>11</v>
      </c>
      <c r="B15" s="48" t="s">
        <v>55</v>
      </c>
      <c r="C15" s="48" t="s">
        <v>52</v>
      </c>
      <c r="D15" s="48">
        <v>35</v>
      </c>
      <c r="E15" s="48">
        <f t="shared" si="0"/>
        <v>32.25</v>
      </c>
      <c r="F15" s="48">
        <f t="shared" si="1"/>
        <v>33.5</v>
      </c>
      <c r="G15" s="48">
        <f t="shared" si="2"/>
        <v>32.9</v>
      </c>
      <c r="H15" s="48">
        <f t="shared" si="3"/>
        <v>1.0638297872340425</v>
      </c>
    </row>
    <row r="16" spans="1:14" ht="15" customHeight="1">
      <c r="A16" s="50">
        <v>12</v>
      </c>
      <c r="B16" s="50" t="s">
        <v>55</v>
      </c>
      <c r="C16" s="50" t="s">
        <v>53</v>
      </c>
      <c r="D16" s="50">
        <v>7</v>
      </c>
      <c r="E16" s="50">
        <f t="shared" si="0"/>
        <v>33.5</v>
      </c>
      <c r="F16" s="50">
        <f t="shared" si="1"/>
        <v>30</v>
      </c>
      <c r="G16" s="50">
        <f t="shared" si="2"/>
        <v>31.8</v>
      </c>
      <c r="H16" s="50">
        <f t="shared" si="3"/>
        <v>0.22012578616352202</v>
      </c>
    </row>
    <row r="17" spans="1:8" ht="15" customHeight="1">
      <c r="A17" s="48">
        <v>13</v>
      </c>
      <c r="B17" s="48" t="s">
        <v>56</v>
      </c>
      <c r="C17" s="48" t="s">
        <v>50</v>
      </c>
      <c r="D17" s="48">
        <v>27</v>
      </c>
      <c r="E17" s="48">
        <f t="shared" si="0"/>
        <v>30</v>
      </c>
      <c r="F17" s="48">
        <f t="shared" si="1"/>
        <v>36.5</v>
      </c>
      <c r="G17" s="48">
        <f t="shared" si="2"/>
        <v>33.299999999999997</v>
      </c>
      <c r="H17" s="48">
        <f t="shared" si="3"/>
        <v>0.81081081081081086</v>
      </c>
    </row>
    <row r="18" spans="1:8" ht="15" customHeight="1">
      <c r="A18" s="50">
        <v>14</v>
      </c>
      <c r="B18" s="50" t="s">
        <v>56</v>
      </c>
      <c r="C18" s="50" t="s">
        <v>51</v>
      </c>
      <c r="D18" s="50">
        <v>51</v>
      </c>
      <c r="E18" s="50">
        <f t="shared" si="0"/>
        <v>36.5</v>
      </c>
      <c r="F18" s="50">
        <f t="shared" si="1"/>
        <v>37</v>
      </c>
      <c r="G18" s="50">
        <f t="shared" si="2"/>
        <v>36.799999999999997</v>
      </c>
      <c r="H18" s="50">
        <f t="shared" si="3"/>
        <v>1.3858695652173914</v>
      </c>
    </row>
    <row r="19" spans="1:8" ht="15" customHeight="1">
      <c r="A19" s="48">
        <v>15</v>
      </c>
      <c r="B19" s="48" t="s">
        <v>56</v>
      </c>
      <c r="C19" s="48" t="s">
        <v>52</v>
      </c>
      <c r="D19" s="48">
        <v>61</v>
      </c>
      <c r="E19" s="48">
        <f t="shared" si="0"/>
        <v>37</v>
      </c>
      <c r="F19" s="48">
        <f t="shared" si="1"/>
        <v>36.25</v>
      </c>
      <c r="G19" s="48">
        <f t="shared" si="2"/>
        <v>36.6</v>
      </c>
      <c r="H19" s="48">
        <f t="shared" si="3"/>
        <v>1.6666666666666665</v>
      </c>
    </row>
    <row r="20" spans="1:8" ht="15" customHeight="1">
      <c r="A20" s="50">
        <v>16</v>
      </c>
      <c r="B20" s="50" t="s">
        <v>56</v>
      </c>
      <c r="C20" s="50" t="s">
        <v>53</v>
      </c>
      <c r="D20" s="50">
        <v>9</v>
      </c>
      <c r="E20" s="50">
        <f t="shared" si="0"/>
        <v>36.25</v>
      </c>
      <c r="F20" s="50">
        <f t="shared" si="1"/>
        <v>38.5</v>
      </c>
      <c r="G20" s="50">
        <f t="shared" si="2"/>
        <v>37.4</v>
      </c>
      <c r="H20" s="50">
        <f t="shared" si="3"/>
        <v>0.24064171122994654</v>
      </c>
    </row>
    <row r="21" spans="1:8" ht="15" customHeight="1">
      <c r="A21" s="48">
        <v>17</v>
      </c>
      <c r="B21" s="48" t="s">
        <v>57</v>
      </c>
      <c r="C21" s="48" t="s">
        <v>50</v>
      </c>
      <c r="D21" s="48">
        <v>24</v>
      </c>
      <c r="E21" s="48">
        <f t="shared" si="0"/>
        <v>38.5</v>
      </c>
      <c r="F21" s="48">
        <f t="shared" si="1"/>
        <v>35.25</v>
      </c>
      <c r="G21" s="48">
        <f t="shared" si="2"/>
        <v>36.9</v>
      </c>
      <c r="H21" s="48">
        <f t="shared" si="3"/>
        <v>0.65040650406504064</v>
      </c>
    </row>
    <row r="22" spans="1:8" ht="15" customHeight="1">
      <c r="A22" s="50">
        <v>18</v>
      </c>
      <c r="B22" s="50" t="s">
        <v>57</v>
      </c>
      <c r="C22" s="50" t="s">
        <v>51</v>
      </c>
      <c r="D22" s="50">
        <v>60</v>
      </c>
      <c r="E22" s="50">
        <f t="shared" si="0"/>
        <v>35.25</v>
      </c>
      <c r="F22" s="50">
        <f t="shared" si="1"/>
        <v>35.25</v>
      </c>
      <c r="G22" s="50">
        <f t="shared" si="2"/>
        <v>35.299999999999997</v>
      </c>
      <c r="H22" s="50">
        <f t="shared" si="3"/>
        <v>1.6997167138810199</v>
      </c>
    </row>
    <row r="23" spans="1:8" ht="15" customHeight="1">
      <c r="A23" s="48">
        <v>19</v>
      </c>
      <c r="B23" s="48" t="s">
        <v>57</v>
      </c>
      <c r="C23" s="48" t="s">
        <v>52</v>
      </c>
      <c r="D23" s="48">
        <v>48</v>
      </c>
      <c r="E23" s="48" t="s">
        <v>93</v>
      </c>
      <c r="F23" s="48" t="s">
        <v>93</v>
      </c>
      <c r="G23" s="48" t="s">
        <v>93</v>
      </c>
      <c r="H23" s="48" t="s">
        <v>93</v>
      </c>
    </row>
    <row r="24" spans="1:8" ht="15" customHeight="1">
      <c r="A24" s="50">
        <v>20</v>
      </c>
      <c r="B24" s="50" t="s">
        <v>57</v>
      </c>
      <c r="C24" s="50" t="s">
        <v>53</v>
      </c>
      <c r="D24" s="50">
        <v>9</v>
      </c>
      <c r="E24" s="50" t="s">
        <v>93</v>
      </c>
      <c r="F24" s="50" t="s">
        <v>93</v>
      </c>
      <c r="G24" s="50" t="s">
        <v>93</v>
      </c>
      <c r="H24" s="50" t="s">
        <v>93</v>
      </c>
    </row>
    <row r="27" spans="1:8" ht="15" customHeight="1">
      <c r="A27" s="83" t="s">
        <v>94</v>
      </c>
      <c r="B27" s="83"/>
      <c r="C27" s="83"/>
      <c r="D27" s="83"/>
      <c r="E27" s="83"/>
      <c r="F27" s="83"/>
      <c r="G27" s="83"/>
      <c r="H27" s="83"/>
    </row>
    <row r="28" spans="1:8" ht="15" customHeight="1">
      <c r="A28" s="84" t="s">
        <v>95</v>
      </c>
      <c r="B28" s="84"/>
      <c r="C28" s="84"/>
      <c r="D28" s="84"/>
      <c r="E28" s="84"/>
      <c r="F28" s="84"/>
      <c r="G28" s="84"/>
      <c r="H28" s="84"/>
    </row>
    <row r="29" spans="1:8" ht="34.5" customHeight="1">
      <c r="A29" s="47" t="s">
        <v>96</v>
      </c>
      <c r="B29" s="47" t="s">
        <v>48</v>
      </c>
      <c r="C29" s="47" t="s">
        <v>97</v>
      </c>
      <c r="D29" s="47" t="s">
        <v>98</v>
      </c>
      <c r="E29" s="47" t="s">
        <v>99</v>
      </c>
      <c r="F29" s="47" t="s">
        <v>100</v>
      </c>
      <c r="G29" s="47" t="s">
        <v>101</v>
      </c>
      <c r="H29" s="47" t="s">
        <v>102</v>
      </c>
    </row>
    <row r="30" spans="1:8" ht="15" customHeight="1">
      <c r="A30" s="54">
        <v>1</v>
      </c>
      <c r="B30" s="54" t="s">
        <v>103</v>
      </c>
      <c r="C30" s="54">
        <f>H9</f>
        <v>0.53030303030303028</v>
      </c>
      <c r="D30" s="54">
        <f>H13</f>
        <v>0.68535825545171336</v>
      </c>
      <c r="E30" s="54">
        <f>H17</f>
        <v>0.81081081081081086</v>
      </c>
      <c r="F30" s="54">
        <f>H21</f>
        <v>0.65040650406504064</v>
      </c>
      <c r="G30" s="54">
        <f>AVERAGE(C30:F30)</f>
        <v>0.66921965015764884</v>
      </c>
      <c r="H30" s="55">
        <f>G30*4/SUM(G30:G33)</f>
        <v>0.68146926133033625</v>
      </c>
    </row>
    <row r="31" spans="1:8" ht="15" customHeight="1">
      <c r="A31" s="56">
        <v>2</v>
      </c>
      <c r="B31" s="56" t="s">
        <v>104</v>
      </c>
      <c r="C31" s="56">
        <f>H10</f>
        <v>1.8421052631578947</v>
      </c>
      <c r="D31" s="56">
        <f>H14</f>
        <v>2.03125</v>
      </c>
      <c r="E31" s="56">
        <f>H18</f>
        <v>1.3858695652173914</v>
      </c>
      <c r="F31" s="56">
        <f>H22</f>
        <v>1.6997167138810199</v>
      </c>
      <c r="G31" s="56">
        <f>AVERAGE(C31:F31)</f>
        <v>1.7397353855640765</v>
      </c>
      <c r="H31" s="55">
        <f>G31*4/SUM(G30:G33)</f>
        <v>1.7715800601959482</v>
      </c>
    </row>
    <row r="32" spans="1:8" ht="15" customHeight="1">
      <c r="A32" s="54">
        <v>3</v>
      </c>
      <c r="B32" s="54" t="s">
        <v>105</v>
      </c>
      <c r="C32" s="54">
        <f>H7</f>
        <v>1.1290322580645162</v>
      </c>
      <c r="D32" s="54">
        <f>H11</f>
        <v>1.3818181818181818</v>
      </c>
      <c r="E32" s="54">
        <f>H15</f>
        <v>1.0638297872340425</v>
      </c>
      <c r="F32" s="54">
        <f>H19</f>
        <v>1.6666666666666665</v>
      </c>
      <c r="G32" s="54">
        <f>AVERAGE(C32:F32)</f>
        <v>1.3103367234458516</v>
      </c>
      <c r="H32" s="55">
        <f>G32*4/SUM(G30:G33)</f>
        <v>1.3343215472084589</v>
      </c>
    </row>
    <row r="33" spans="1:8" ht="15" customHeight="1">
      <c r="A33" s="56">
        <v>4</v>
      </c>
      <c r="B33" s="56" t="s">
        <v>106</v>
      </c>
      <c r="C33" s="56">
        <f>H8</f>
        <v>0.21052631578947367</v>
      </c>
      <c r="D33" s="56">
        <f>H12</f>
        <v>0.16393442622950818</v>
      </c>
      <c r="E33" s="56">
        <f>H16</f>
        <v>0.22012578616352202</v>
      </c>
      <c r="F33" s="56">
        <f>H20</f>
        <v>0.24064171122994654</v>
      </c>
      <c r="G33" s="56">
        <f>AVERAGE(C33:F33)</f>
        <v>0.2088070598531126</v>
      </c>
      <c r="H33" s="55">
        <f>G33*4/SUM(G30:G33)</f>
        <v>0.21262913126525682</v>
      </c>
    </row>
    <row r="35" spans="1:8" ht="15" customHeight="1">
      <c r="A35" s="83" t="s">
        <v>107</v>
      </c>
      <c r="B35" s="83"/>
      <c r="C35" s="83"/>
      <c r="D35" s="83"/>
      <c r="E35" s="83"/>
      <c r="F35" s="83"/>
      <c r="G35" s="83"/>
      <c r="H35" s="83"/>
    </row>
    <row r="36" spans="1:8" ht="26.25" customHeight="1">
      <c r="A36" s="47" t="s">
        <v>29</v>
      </c>
      <c r="B36" s="47" t="s">
        <v>47</v>
      </c>
      <c r="C36" s="47" t="s">
        <v>48</v>
      </c>
      <c r="D36" s="47" t="s">
        <v>88</v>
      </c>
      <c r="E36" s="47" t="s">
        <v>96</v>
      </c>
      <c r="F36" s="47" t="s">
        <v>108</v>
      </c>
      <c r="G36" s="47" t="s">
        <v>109</v>
      </c>
      <c r="H36" s="47"/>
    </row>
    <row r="37" spans="1:8" ht="15" customHeight="1">
      <c r="A37" s="54">
        <v>1</v>
      </c>
      <c r="B37" s="54" t="s">
        <v>49</v>
      </c>
      <c r="C37" s="54" t="s">
        <v>50</v>
      </c>
      <c r="D37" s="54">
        <v>14</v>
      </c>
      <c r="E37" s="54" t="s">
        <v>110</v>
      </c>
      <c r="F37" s="57">
        <f>$H$30</f>
        <v>0.68146926133033625</v>
      </c>
      <c r="G37" s="54">
        <f t="shared" ref="G37:G56" si="4">ROUND(D37/F37,1)</f>
        <v>20.5</v>
      </c>
    </row>
    <row r="38" spans="1:8" ht="15" customHeight="1">
      <c r="A38" s="56">
        <v>2</v>
      </c>
      <c r="B38" s="56" t="s">
        <v>49</v>
      </c>
      <c r="C38" s="56" t="s">
        <v>51</v>
      </c>
      <c r="D38" s="56">
        <v>69</v>
      </c>
      <c r="E38" s="56" t="s">
        <v>111</v>
      </c>
      <c r="F38" s="58">
        <f>$H$31</f>
        <v>1.7715800601959482</v>
      </c>
      <c r="G38" s="56">
        <f t="shared" si="4"/>
        <v>38.9</v>
      </c>
    </row>
    <row r="39" spans="1:8" ht="15" customHeight="1">
      <c r="A39" s="54">
        <v>3</v>
      </c>
      <c r="B39" s="54" t="s">
        <v>49</v>
      </c>
      <c r="C39" s="54" t="s">
        <v>52</v>
      </c>
      <c r="D39" s="54">
        <v>35</v>
      </c>
      <c r="E39" s="54" t="s">
        <v>112</v>
      </c>
      <c r="F39" s="57">
        <f>$H$32</f>
        <v>1.3343215472084589</v>
      </c>
      <c r="G39" s="54">
        <f t="shared" si="4"/>
        <v>26.2</v>
      </c>
    </row>
    <row r="40" spans="1:8" ht="15" customHeight="1">
      <c r="A40" s="56">
        <v>4</v>
      </c>
      <c r="B40" s="56" t="s">
        <v>49</v>
      </c>
      <c r="C40" s="56" t="s">
        <v>53</v>
      </c>
      <c r="D40" s="56">
        <v>6</v>
      </c>
      <c r="E40" s="56" t="s">
        <v>113</v>
      </c>
      <c r="F40" s="58">
        <f>$H$33</f>
        <v>0.21262913126525682</v>
      </c>
      <c r="G40" s="56">
        <f t="shared" si="4"/>
        <v>28.2</v>
      </c>
    </row>
    <row r="41" spans="1:8" ht="15" customHeight="1">
      <c r="A41" s="54">
        <v>5</v>
      </c>
      <c r="B41" s="54" t="s">
        <v>54</v>
      </c>
      <c r="C41" s="54" t="s">
        <v>50</v>
      </c>
      <c r="D41" s="54">
        <v>14</v>
      </c>
      <c r="E41" s="54" t="s">
        <v>110</v>
      </c>
      <c r="F41" s="57">
        <f>$H$30</f>
        <v>0.68146926133033625</v>
      </c>
      <c r="G41" s="54">
        <f t="shared" si="4"/>
        <v>20.5</v>
      </c>
    </row>
    <row r="42" spans="1:8" ht="15" customHeight="1">
      <c r="A42" s="56">
        <v>6</v>
      </c>
      <c r="B42" s="56" t="s">
        <v>54</v>
      </c>
      <c r="C42" s="56" t="s">
        <v>51</v>
      </c>
      <c r="D42" s="56">
        <v>49</v>
      </c>
      <c r="E42" s="56" t="s">
        <v>111</v>
      </c>
      <c r="F42" s="58">
        <f>$H$31</f>
        <v>1.7715800601959482</v>
      </c>
      <c r="G42" s="56">
        <f t="shared" si="4"/>
        <v>27.7</v>
      </c>
    </row>
    <row r="43" spans="1:8" ht="15" customHeight="1">
      <c r="A43" s="54">
        <v>7</v>
      </c>
      <c r="B43" s="54" t="s">
        <v>54</v>
      </c>
      <c r="C43" s="54" t="s">
        <v>52</v>
      </c>
      <c r="D43" s="54">
        <v>38</v>
      </c>
      <c r="E43" s="54" t="s">
        <v>112</v>
      </c>
      <c r="F43" s="57">
        <f>$H$32</f>
        <v>1.3343215472084589</v>
      </c>
      <c r="G43" s="54">
        <f t="shared" si="4"/>
        <v>28.5</v>
      </c>
    </row>
    <row r="44" spans="1:8" ht="15" customHeight="1">
      <c r="A44" s="56">
        <v>8</v>
      </c>
      <c r="B44" s="56" t="s">
        <v>54</v>
      </c>
      <c r="C44" s="56" t="s">
        <v>53</v>
      </c>
      <c r="D44" s="56">
        <v>5</v>
      </c>
      <c r="E44" s="56" t="s">
        <v>113</v>
      </c>
      <c r="F44" s="58">
        <f>$H$33</f>
        <v>0.21262913126525682</v>
      </c>
      <c r="G44" s="56">
        <f t="shared" si="4"/>
        <v>23.5</v>
      </c>
    </row>
    <row r="45" spans="1:8" ht="15" customHeight="1">
      <c r="A45" s="54">
        <v>9</v>
      </c>
      <c r="B45" s="54" t="s">
        <v>55</v>
      </c>
      <c r="C45" s="54" t="s">
        <v>50</v>
      </c>
      <c r="D45" s="54">
        <v>22</v>
      </c>
      <c r="E45" s="54" t="s">
        <v>110</v>
      </c>
      <c r="F45" s="57">
        <f>$H$30</f>
        <v>0.68146926133033625</v>
      </c>
      <c r="G45" s="54">
        <f t="shared" si="4"/>
        <v>32.299999999999997</v>
      </c>
    </row>
    <row r="46" spans="1:8" ht="15" customHeight="1">
      <c r="A46" s="56">
        <v>10</v>
      </c>
      <c r="B46" s="56" t="s">
        <v>55</v>
      </c>
      <c r="C46" s="56" t="s">
        <v>51</v>
      </c>
      <c r="D46" s="56">
        <v>65</v>
      </c>
      <c r="E46" s="56" t="s">
        <v>111</v>
      </c>
      <c r="F46" s="58">
        <f>$H$31</f>
        <v>1.7715800601959482</v>
      </c>
      <c r="G46" s="56">
        <f t="shared" si="4"/>
        <v>36.700000000000003</v>
      </c>
    </row>
    <row r="47" spans="1:8" ht="15" customHeight="1">
      <c r="A47" s="54">
        <v>11</v>
      </c>
      <c r="B47" s="54" t="s">
        <v>55</v>
      </c>
      <c r="C47" s="54" t="s">
        <v>52</v>
      </c>
      <c r="D47" s="54">
        <v>35</v>
      </c>
      <c r="E47" s="54" t="s">
        <v>112</v>
      </c>
      <c r="F47" s="57">
        <f>$H$32</f>
        <v>1.3343215472084589</v>
      </c>
      <c r="G47" s="54">
        <f t="shared" si="4"/>
        <v>26.2</v>
      </c>
    </row>
    <row r="48" spans="1:8" ht="15" customHeight="1">
      <c r="A48" s="56">
        <v>12</v>
      </c>
      <c r="B48" s="56" t="s">
        <v>55</v>
      </c>
      <c r="C48" s="56" t="s">
        <v>53</v>
      </c>
      <c r="D48" s="56">
        <v>7</v>
      </c>
      <c r="E48" s="56" t="s">
        <v>113</v>
      </c>
      <c r="F48" s="58">
        <f>$H$33</f>
        <v>0.21262913126525682</v>
      </c>
      <c r="G48" s="56">
        <f t="shared" si="4"/>
        <v>32.9</v>
      </c>
    </row>
    <row r="49" spans="1:11" ht="15" customHeight="1">
      <c r="A49" s="54">
        <v>13</v>
      </c>
      <c r="B49" s="54" t="s">
        <v>56</v>
      </c>
      <c r="C49" s="54" t="s">
        <v>50</v>
      </c>
      <c r="D49" s="54">
        <v>27</v>
      </c>
      <c r="E49" s="54" t="s">
        <v>110</v>
      </c>
      <c r="F49" s="57">
        <f>$H$30</f>
        <v>0.68146926133033625</v>
      </c>
      <c r="G49" s="54">
        <f t="shared" si="4"/>
        <v>39.6</v>
      </c>
    </row>
    <row r="50" spans="1:11" ht="15" customHeight="1">
      <c r="A50" s="56">
        <v>14</v>
      </c>
      <c r="B50" s="56" t="s">
        <v>56</v>
      </c>
      <c r="C50" s="56" t="s">
        <v>51</v>
      </c>
      <c r="D50" s="56">
        <v>51</v>
      </c>
      <c r="E50" s="56" t="s">
        <v>111</v>
      </c>
      <c r="F50" s="58">
        <f>$H$31</f>
        <v>1.7715800601959482</v>
      </c>
      <c r="G50" s="56">
        <f t="shared" si="4"/>
        <v>28.8</v>
      </c>
    </row>
    <row r="51" spans="1:11" ht="15" customHeight="1">
      <c r="A51" s="54">
        <v>15</v>
      </c>
      <c r="B51" s="54" t="s">
        <v>56</v>
      </c>
      <c r="C51" s="54" t="s">
        <v>52</v>
      </c>
      <c r="D51" s="54">
        <v>61</v>
      </c>
      <c r="E51" s="54" t="s">
        <v>112</v>
      </c>
      <c r="F51" s="57">
        <f>$H$32</f>
        <v>1.3343215472084589</v>
      </c>
      <c r="G51" s="54">
        <f t="shared" si="4"/>
        <v>45.7</v>
      </c>
    </row>
    <row r="52" spans="1:11" ht="15" customHeight="1">
      <c r="A52" s="56">
        <v>16</v>
      </c>
      <c r="B52" s="56" t="s">
        <v>56</v>
      </c>
      <c r="C52" s="56" t="s">
        <v>53</v>
      </c>
      <c r="D52" s="56">
        <v>9</v>
      </c>
      <c r="E52" s="56" t="s">
        <v>113</v>
      </c>
      <c r="F52" s="58">
        <f>$H$33</f>
        <v>0.21262913126525682</v>
      </c>
      <c r="G52" s="56">
        <f t="shared" si="4"/>
        <v>42.3</v>
      </c>
    </row>
    <row r="53" spans="1:11" ht="15" customHeight="1">
      <c r="A53" s="54">
        <v>17</v>
      </c>
      <c r="B53" s="54" t="s">
        <v>57</v>
      </c>
      <c r="C53" s="54" t="s">
        <v>50</v>
      </c>
      <c r="D53" s="54">
        <v>24</v>
      </c>
      <c r="E53" s="54" t="s">
        <v>110</v>
      </c>
      <c r="F53" s="57">
        <f>$H$30</f>
        <v>0.68146926133033625</v>
      </c>
      <c r="G53" s="54">
        <f t="shared" si="4"/>
        <v>35.200000000000003</v>
      </c>
    </row>
    <row r="54" spans="1:11" ht="15" customHeight="1">
      <c r="A54" s="56">
        <v>18</v>
      </c>
      <c r="B54" s="56" t="s">
        <v>57</v>
      </c>
      <c r="C54" s="56" t="s">
        <v>51</v>
      </c>
      <c r="D54" s="56">
        <v>60</v>
      </c>
      <c r="E54" s="56" t="s">
        <v>111</v>
      </c>
      <c r="F54" s="58">
        <f>$H$31</f>
        <v>1.7715800601959482</v>
      </c>
      <c r="G54" s="56">
        <f t="shared" si="4"/>
        <v>33.9</v>
      </c>
    </row>
    <row r="55" spans="1:11" ht="15" customHeight="1">
      <c r="A55" s="54">
        <v>19</v>
      </c>
      <c r="B55" s="54" t="s">
        <v>57</v>
      </c>
      <c r="C55" s="54" t="s">
        <v>52</v>
      </c>
      <c r="D55" s="54">
        <v>48</v>
      </c>
      <c r="E55" s="54" t="s">
        <v>112</v>
      </c>
      <c r="F55" s="57">
        <f>$H$32</f>
        <v>1.3343215472084589</v>
      </c>
      <c r="G55" s="54">
        <f t="shared" si="4"/>
        <v>36</v>
      </c>
    </row>
    <row r="56" spans="1:11" ht="15" customHeight="1">
      <c r="A56" s="56">
        <v>20</v>
      </c>
      <c r="B56" s="56" t="s">
        <v>57</v>
      </c>
      <c r="C56" s="56" t="s">
        <v>53</v>
      </c>
      <c r="D56" s="56">
        <v>9</v>
      </c>
      <c r="E56" s="56" t="s">
        <v>113</v>
      </c>
      <c r="F56" s="58">
        <f>$H$33</f>
        <v>0.21262913126525682</v>
      </c>
      <c r="G56" s="56">
        <f t="shared" si="4"/>
        <v>42.3</v>
      </c>
    </row>
    <row r="58" spans="1:11" ht="15" customHeight="1">
      <c r="A58" s="83" t="s">
        <v>114</v>
      </c>
      <c r="B58" s="83"/>
      <c r="C58" s="83"/>
      <c r="D58" s="83"/>
      <c r="E58" s="83"/>
      <c r="F58" s="83"/>
      <c r="G58" s="83"/>
      <c r="H58" s="83"/>
    </row>
    <row r="59" spans="1:11" ht="15" customHeight="1">
      <c r="A59" s="44" t="s">
        <v>115</v>
      </c>
      <c r="B59" s="44" t="s">
        <v>116</v>
      </c>
      <c r="C59" s="44" t="s">
        <v>117</v>
      </c>
    </row>
    <row r="60" spans="1:11" ht="15" customHeight="1">
      <c r="A60" s="59" t="s">
        <v>118</v>
      </c>
      <c r="B60" s="60" t="s">
        <v>119</v>
      </c>
      <c r="C60" s="61">
        <f>ROUND(INTERCEPT(G37:G56,A37:A56),1)</f>
        <v>24</v>
      </c>
    </row>
    <row r="61" spans="1:11" ht="15" customHeight="1">
      <c r="A61" s="59" t="s">
        <v>120</v>
      </c>
      <c r="B61" s="60" t="s">
        <v>121</v>
      </c>
      <c r="C61" s="61">
        <f>ROUND(SLOPE(G37:G56,A37:A56),1)</f>
        <v>0.8</v>
      </c>
    </row>
    <row r="62" spans="1:11" ht="15" customHeight="1">
      <c r="A62" s="85" t="s">
        <v>122</v>
      </c>
      <c r="B62" s="85"/>
      <c r="C62" s="85"/>
      <c r="D62" s="85"/>
      <c r="E62" s="85"/>
      <c r="F62" s="85"/>
      <c r="G62" s="85"/>
      <c r="H62" s="85"/>
    </row>
    <row r="64" spans="1:11" ht="15" customHeight="1">
      <c r="A64" s="83" t="s">
        <v>123</v>
      </c>
      <c r="B64" s="83"/>
      <c r="C64" s="83"/>
      <c r="D64" s="83"/>
      <c r="E64" s="83"/>
      <c r="F64" s="83"/>
      <c r="G64" s="83"/>
      <c r="H64" s="83"/>
      <c r="I64" s="83"/>
      <c r="J64" s="83"/>
      <c r="K64" s="83"/>
    </row>
    <row r="65" spans="1:10" ht="15" customHeight="1">
      <c r="A65" s="47" t="s">
        <v>29</v>
      </c>
      <c r="B65" s="47" t="s">
        <v>47</v>
      </c>
      <c r="C65" s="47" t="s">
        <v>48</v>
      </c>
      <c r="D65" s="47" t="s">
        <v>73</v>
      </c>
      <c r="E65" s="47" t="s">
        <v>96</v>
      </c>
      <c r="F65" s="47" t="s">
        <v>124</v>
      </c>
      <c r="G65" s="47" t="s">
        <v>125</v>
      </c>
      <c r="H65" s="47" t="s">
        <v>126</v>
      </c>
      <c r="I65" s="47" t="s">
        <v>127</v>
      </c>
      <c r="J65" s="47" t="s">
        <v>79</v>
      </c>
    </row>
    <row r="66" spans="1:10" ht="15" customHeight="1">
      <c r="A66" s="54">
        <v>1</v>
      </c>
      <c r="B66" s="54" t="s">
        <v>49</v>
      </c>
      <c r="C66" s="54" t="s">
        <v>50</v>
      </c>
      <c r="D66" s="54">
        <v>14</v>
      </c>
      <c r="E66" s="54" t="s">
        <v>110</v>
      </c>
      <c r="F66" s="57">
        <f>$H$30</f>
        <v>0.68146926133033625</v>
      </c>
      <c r="G66" s="54">
        <f t="shared" ref="G66:G85" si="5">$C$60+$C$61*A66</f>
        <v>24.8</v>
      </c>
      <c r="H66" s="54">
        <f t="shared" ref="H66:H85" si="6">ROUND(G66*F66,1)</f>
        <v>16.899999999999999</v>
      </c>
      <c r="I66" s="54">
        <f t="shared" ref="I66:I85" si="7">ABS(D66-H66)</f>
        <v>2.8999999999999986</v>
      </c>
      <c r="J66" s="62">
        <f>ABS(D66-($C$60+$C$61*A66)*$H$30)/D66</f>
        <v>0.20717412007088143</v>
      </c>
    </row>
    <row r="67" spans="1:10" ht="15" customHeight="1">
      <c r="A67" s="56">
        <v>2</v>
      </c>
      <c r="B67" s="56" t="s">
        <v>49</v>
      </c>
      <c r="C67" s="56" t="s">
        <v>51</v>
      </c>
      <c r="D67" s="56">
        <v>69</v>
      </c>
      <c r="E67" s="56" t="s">
        <v>111</v>
      </c>
      <c r="F67" s="58">
        <f>$H$31</f>
        <v>1.7715800601959482</v>
      </c>
      <c r="G67" s="56">
        <f t="shared" si="5"/>
        <v>25.6</v>
      </c>
      <c r="H67" s="56">
        <f t="shared" si="6"/>
        <v>45.4</v>
      </c>
      <c r="I67" s="56">
        <f t="shared" si="7"/>
        <v>23.6</v>
      </c>
      <c r="J67" s="63">
        <f>ABS(D67-($C$60+$C$61*A67)*$H$31)/D67</f>
        <v>0.342718122593967</v>
      </c>
    </row>
    <row r="68" spans="1:10" ht="15" customHeight="1">
      <c r="A68" s="54">
        <v>3</v>
      </c>
      <c r="B68" s="54" t="s">
        <v>49</v>
      </c>
      <c r="C68" s="54" t="s">
        <v>52</v>
      </c>
      <c r="D68" s="54">
        <v>35</v>
      </c>
      <c r="E68" s="54" t="s">
        <v>112</v>
      </c>
      <c r="F68" s="57">
        <f>$H$32</f>
        <v>1.3343215472084589</v>
      </c>
      <c r="G68" s="54">
        <f t="shared" si="5"/>
        <v>26.4</v>
      </c>
      <c r="H68" s="54">
        <f t="shared" si="6"/>
        <v>35.200000000000003</v>
      </c>
      <c r="I68" s="54">
        <f t="shared" si="7"/>
        <v>0.20000000000000284</v>
      </c>
      <c r="J68" s="62">
        <f>ABS(D68-($C$60+$C$61*A68)*$H$32)/D68</f>
        <v>6.4596813229517887E-3</v>
      </c>
    </row>
    <row r="69" spans="1:10" ht="15" customHeight="1">
      <c r="A69" s="56">
        <v>4</v>
      </c>
      <c r="B69" s="56" t="s">
        <v>49</v>
      </c>
      <c r="C69" s="56" t="s">
        <v>53</v>
      </c>
      <c r="D69" s="56">
        <v>6</v>
      </c>
      <c r="E69" s="56" t="s">
        <v>113</v>
      </c>
      <c r="F69" s="58">
        <f>$H$33</f>
        <v>0.21262913126525682</v>
      </c>
      <c r="G69" s="56">
        <f t="shared" si="5"/>
        <v>27.2</v>
      </c>
      <c r="H69" s="56">
        <f t="shared" si="6"/>
        <v>5.8</v>
      </c>
      <c r="I69" s="56">
        <f t="shared" si="7"/>
        <v>0.20000000000000018</v>
      </c>
      <c r="J69" s="63">
        <f>ABS(D69-($C$60+$C$61*A69)*$H$33)/D69</f>
        <v>3.6081271597502518E-2</v>
      </c>
    </row>
    <row r="70" spans="1:10" ht="15" customHeight="1">
      <c r="A70" s="54">
        <v>5</v>
      </c>
      <c r="B70" s="54" t="s">
        <v>54</v>
      </c>
      <c r="C70" s="54" t="s">
        <v>50</v>
      </c>
      <c r="D70" s="54">
        <v>14</v>
      </c>
      <c r="E70" s="54" t="s">
        <v>110</v>
      </c>
      <c r="F70" s="57">
        <f>$H$30</f>
        <v>0.68146926133033625</v>
      </c>
      <c r="G70" s="54">
        <f t="shared" si="5"/>
        <v>28</v>
      </c>
      <c r="H70" s="54">
        <f t="shared" si="6"/>
        <v>19.100000000000001</v>
      </c>
      <c r="I70" s="54">
        <f t="shared" si="7"/>
        <v>5.1000000000000014</v>
      </c>
      <c r="J70" s="62">
        <f>ABS(D70-($C$60+$C$61*A70)*$H$30)/D70</f>
        <v>0.36293852266067261</v>
      </c>
    </row>
    <row r="71" spans="1:10" ht="15" customHeight="1">
      <c r="A71" s="56">
        <v>6</v>
      </c>
      <c r="B71" s="56" t="s">
        <v>54</v>
      </c>
      <c r="C71" s="56" t="s">
        <v>51</v>
      </c>
      <c r="D71" s="56">
        <v>49</v>
      </c>
      <c r="E71" s="56" t="s">
        <v>111</v>
      </c>
      <c r="F71" s="58">
        <f>$H$31</f>
        <v>1.7715800601959482</v>
      </c>
      <c r="G71" s="56">
        <f t="shared" si="5"/>
        <v>28.8</v>
      </c>
      <c r="H71" s="56">
        <f t="shared" si="6"/>
        <v>51</v>
      </c>
      <c r="I71" s="56">
        <f t="shared" si="7"/>
        <v>2</v>
      </c>
      <c r="J71" s="63">
        <f>ABS(D71-($C$60+$C$61*A71)*$H$31)/D71</f>
        <v>4.125521905394508E-2</v>
      </c>
    </row>
    <row r="72" spans="1:10" ht="15" customHeight="1">
      <c r="A72" s="54">
        <v>7</v>
      </c>
      <c r="B72" s="54" t="s">
        <v>54</v>
      </c>
      <c r="C72" s="54" t="s">
        <v>52</v>
      </c>
      <c r="D72" s="54">
        <v>38</v>
      </c>
      <c r="E72" s="54" t="s">
        <v>112</v>
      </c>
      <c r="F72" s="57">
        <f>$H$32</f>
        <v>1.3343215472084589</v>
      </c>
      <c r="G72" s="54">
        <f t="shared" si="5"/>
        <v>29.6</v>
      </c>
      <c r="H72" s="54">
        <f t="shared" si="6"/>
        <v>39.5</v>
      </c>
      <c r="I72" s="54">
        <f t="shared" si="7"/>
        <v>1.5</v>
      </c>
      <c r="J72" s="62">
        <f>ABS(D72-($C$60+$C$61*A72)*$H$32)/D72</f>
        <v>3.9366257825536356E-2</v>
      </c>
    </row>
    <row r="73" spans="1:10" ht="15" customHeight="1">
      <c r="A73" s="56">
        <v>8</v>
      </c>
      <c r="B73" s="56" t="s">
        <v>54</v>
      </c>
      <c r="C73" s="56" t="s">
        <v>53</v>
      </c>
      <c r="D73" s="56">
        <v>5</v>
      </c>
      <c r="E73" s="56" t="s">
        <v>113</v>
      </c>
      <c r="F73" s="58">
        <f>$H$33</f>
        <v>0.21262913126525682</v>
      </c>
      <c r="G73" s="56">
        <f t="shared" si="5"/>
        <v>30.4</v>
      </c>
      <c r="H73" s="56">
        <f t="shared" si="6"/>
        <v>6.5</v>
      </c>
      <c r="I73" s="56">
        <f t="shared" si="7"/>
        <v>1.5</v>
      </c>
      <c r="J73" s="63">
        <f>ABS(D73-($C$60+$C$61*A73)*$H$33)/D73</f>
        <v>0.29278511809276148</v>
      </c>
    </row>
    <row r="74" spans="1:10" ht="15" customHeight="1">
      <c r="A74" s="54">
        <v>9</v>
      </c>
      <c r="B74" s="54" t="s">
        <v>55</v>
      </c>
      <c r="C74" s="54" t="s">
        <v>50</v>
      </c>
      <c r="D74" s="54">
        <v>22</v>
      </c>
      <c r="E74" s="54" t="s">
        <v>110</v>
      </c>
      <c r="F74" s="57">
        <f>$H$30</f>
        <v>0.68146926133033625</v>
      </c>
      <c r="G74" s="54">
        <f t="shared" si="5"/>
        <v>31.2</v>
      </c>
      <c r="H74" s="54">
        <f t="shared" si="6"/>
        <v>21.3</v>
      </c>
      <c r="I74" s="54">
        <f t="shared" si="7"/>
        <v>0.69999999999999929</v>
      </c>
      <c r="J74" s="62">
        <f>ABS(D74-($C$60+$C$61*A74)*$H$30)/D74</f>
        <v>3.3552683931523219E-2</v>
      </c>
    </row>
    <row r="75" spans="1:10" ht="15" customHeight="1">
      <c r="A75" s="56">
        <v>10</v>
      </c>
      <c r="B75" s="56" t="s">
        <v>55</v>
      </c>
      <c r="C75" s="56" t="s">
        <v>51</v>
      </c>
      <c r="D75" s="56">
        <v>65</v>
      </c>
      <c r="E75" s="56" t="s">
        <v>111</v>
      </c>
      <c r="F75" s="58">
        <f>$H$31</f>
        <v>1.7715800601959482</v>
      </c>
      <c r="G75" s="56">
        <f t="shared" si="5"/>
        <v>32</v>
      </c>
      <c r="H75" s="56">
        <f t="shared" si="6"/>
        <v>56.7</v>
      </c>
      <c r="I75" s="56">
        <f t="shared" si="7"/>
        <v>8.2999999999999972</v>
      </c>
      <c r="J75" s="63">
        <f>ABS(D75-($C$60+$C$61*A75)*$H$31)/D75</f>
        <v>0.12783750882661013</v>
      </c>
    </row>
    <row r="76" spans="1:10" ht="15" customHeight="1">
      <c r="A76" s="54">
        <v>11</v>
      </c>
      <c r="B76" s="54" t="s">
        <v>55</v>
      </c>
      <c r="C76" s="54" t="s">
        <v>52</v>
      </c>
      <c r="D76" s="54">
        <v>35</v>
      </c>
      <c r="E76" s="54" t="s">
        <v>112</v>
      </c>
      <c r="F76" s="57">
        <f>$H$32</f>
        <v>1.3343215472084589</v>
      </c>
      <c r="G76" s="54">
        <f t="shared" si="5"/>
        <v>32.799999999999997</v>
      </c>
      <c r="H76" s="54">
        <f t="shared" si="6"/>
        <v>43.8</v>
      </c>
      <c r="I76" s="54">
        <f t="shared" si="7"/>
        <v>8.7999999999999972</v>
      </c>
      <c r="J76" s="62">
        <f>ABS(D76-($C$60+$C$61*A76)*$H$32)/D76</f>
        <v>0.25044990709821269</v>
      </c>
    </row>
    <row r="77" spans="1:10" ht="15" customHeight="1">
      <c r="A77" s="56">
        <v>12</v>
      </c>
      <c r="B77" s="56" t="s">
        <v>55</v>
      </c>
      <c r="C77" s="56" t="s">
        <v>53</v>
      </c>
      <c r="D77" s="56">
        <v>7</v>
      </c>
      <c r="E77" s="56" t="s">
        <v>113</v>
      </c>
      <c r="F77" s="58">
        <f>$H$33</f>
        <v>0.21262913126525682</v>
      </c>
      <c r="G77" s="56">
        <f t="shared" si="5"/>
        <v>33.6</v>
      </c>
      <c r="H77" s="56">
        <f t="shared" si="6"/>
        <v>7.1</v>
      </c>
      <c r="I77" s="56">
        <f t="shared" si="7"/>
        <v>9.9999999999999645E-2</v>
      </c>
      <c r="J77" s="63">
        <f>ABS(D77-($C$60+$C$61*A77)*$H$33)/D77</f>
        <v>2.0619830073232696E-2</v>
      </c>
    </row>
    <row r="78" spans="1:10" ht="15" customHeight="1">
      <c r="A78" s="54">
        <v>13</v>
      </c>
      <c r="B78" s="54" t="s">
        <v>56</v>
      </c>
      <c r="C78" s="54" t="s">
        <v>50</v>
      </c>
      <c r="D78" s="54">
        <v>27</v>
      </c>
      <c r="E78" s="54" t="s">
        <v>110</v>
      </c>
      <c r="F78" s="57">
        <f>$H$30</f>
        <v>0.68146926133033625</v>
      </c>
      <c r="G78" s="54">
        <f t="shared" si="5"/>
        <v>34.4</v>
      </c>
      <c r="H78" s="54">
        <f t="shared" si="6"/>
        <v>23.4</v>
      </c>
      <c r="I78" s="54">
        <f t="shared" si="7"/>
        <v>3.6000000000000014</v>
      </c>
      <c r="J78" s="62">
        <f>ABS(D78-($C$60+$C$61*A78)*$H$30)/D78</f>
        <v>0.13175768186060868</v>
      </c>
    </row>
    <row r="79" spans="1:10" ht="15" customHeight="1">
      <c r="A79" s="56">
        <v>14</v>
      </c>
      <c r="B79" s="56" t="s">
        <v>56</v>
      </c>
      <c r="C79" s="56" t="s">
        <v>51</v>
      </c>
      <c r="D79" s="56">
        <v>51</v>
      </c>
      <c r="E79" s="56" t="s">
        <v>111</v>
      </c>
      <c r="F79" s="58">
        <f>$H$31</f>
        <v>1.7715800601959482</v>
      </c>
      <c r="G79" s="56">
        <f t="shared" si="5"/>
        <v>35.200000000000003</v>
      </c>
      <c r="H79" s="56">
        <f t="shared" si="6"/>
        <v>62.4</v>
      </c>
      <c r="I79" s="56">
        <f t="shared" si="7"/>
        <v>11.399999999999999</v>
      </c>
      <c r="J79" s="63">
        <f>ABS(D79-($C$60+$C$61*A79)*$H$31)/D79</f>
        <v>0.22273761017445842</v>
      </c>
    </row>
    <row r="80" spans="1:10" ht="15" customHeight="1">
      <c r="A80" s="54">
        <v>15</v>
      </c>
      <c r="B80" s="54" t="s">
        <v>56</v>
      </c>
      <c r="C80" s="54" t="s">
        <v>52</v>
      </c>
      <c r="D80" s="54">
        <v>61</v>
      </c>
      <c r="E80" s="54" t="s">
        <v>112</v>
      </c>
      <c r="F80" s="57">
        <f>$H$32</f>
        <v>1.3343215472084589</v>
      </c>
      <c r="G80" s="54">
        <f t="shared" si="5"/>
        <v>36</v>
      </c>
      <c r="H80" s="54">
        <f t="shared" si="6"/>
        <v>48</v>
      </c>
      <c r="I80" s="54">
        <f t="shared" si="7"/>
        <v>13</v>
      </c>
      <c r="J80" s="62">
        <f>ABS(D80-($C$60+$C$61*A80)*$H$32)/D80</f>
        <v>0.21253154590976198</v>
      </c>
    </row>
    <row r="81" spans="1:11" ht="15" customHeight="1">
      <c r="A81" s="56">
        <v>16</v>
      </c>
      <c r="B81" s="56" t="s">
        <v>56</v>
      </c>
      <c r="C81" s="56" t="s">
        <v>53</v>
      </c>
      <c r="D81" s="56">
        <v>9</v>
      </c>
      <c r="E81" s="56" t="s">
        <v>113</v>
      </c>
      <c r="F81" s="58">
        <f>$H$33</f>
        <v>0.21262913126525682</v>
      </c>
      <c r="G81" s="56">
        <f t="shared" si="5"/>
        <v>36.799999999999997</v>
      </c>
      <c r="H81" s="56">
        <f t="shared" si="6"/>
        <v>7.8</v>
      </c>
      <c r="I81" s="56">
        <f t="shared" si="7"/>
        <v>1.2000000000000002</v>
      </c>
      <c r="J81" s="63">
        <f>ABS(D81-($C$60+$C$61*A81)*$H$33)/D81</f>
        <v>0.13058310771539439</v>
      </c>
    </row>
    <row r="82" spans="1:11" ht="15" customHeight="1">
      <c r="A82" s="54">
        <v>17</v>
      </c>
      <c r="B82" s="54" t="s">
        <v>57</v>
      </c>
      <c r="C82" s="54" t="s">
        <v>50</v>
      </c>
      <c r="D82" s="54">
        <v>24</v>
      </c>
      <c r="E82" s="54" t="s">
        <v>110</v>
      </c>
      <c r="F82" s="57">
        <f>$H$30</f>
        <v>0.68146926133033625</v>
      </c>
      <c r="G82" s="54">
        <f t="shared" si="5"/>
        <v>37.6</v>
      </c>
      <c r="H82" s="54">
        <f t="shared" si="6"/>
        <v>25.6</v>
      </c>
      <c r="I82" s="54">
        <f t="shared" si="7"/>
        <v>1.6000000000000014</v>
      </c>
      <c r="J82" s="62">
        <f>ABS(D82-($C$60+$C$61*A82)*$H$30)/D82</f>
        <v>6.763517608419356E-2</v>
      </c>
    </row>
    <row r="83" spans="1:11" ht="15" customHeight="1">
      <c r="A83" s="56">
        <v>18</v>
      </c>
      <c r="B83" s="56" t="s">
        <v>57</v>
      </c>
      <c r="C83" s="56" t="s">
        <v>51</v>
      </c>
      <c r="D83" s="56">
        <v>60</v>
      </c>
      <c r="E83" s="56" t="s">
        <v>111</v>
      </c>
      <c r="F83" s="58">
        <f>$H$31</f>
        <v>1.7715800601959482</v>
      </c>
      <c r="G83" s="56">
        <f t="shared" si="5"/>
        <v>38.4</v>
      </c>
      <c r="H83" s="56">
        <f t="shared" si="6"/>
        <v>68</v>
      </c>
      <c r="I83" s="56">
        <f t="shared" si="7"/>
        <v>8</v>
      </c>
      <c r="J83" s="63">
        <f>ABS(D83-($C$60+$C$61*A83)*$H$31)/D83</f>
        <v>0.13381123852540686</v>
      </c>
    </row>
    <row r="84" spans="1:11" ht="15" customHeight="1">
      <c r="A84" s="54">
        <v>19</v>
      </c>
      <c r="B84" s="54" t="s">
        <v>57</v>
      </c>
      <c r="C84" s="54" t="s">
        <v>52</v>
      </c>
      <c r="D84" s="54">
        <v>48</v>
      </c>
      <c r="E84" s="54" t="s">
        <v>112</v>
      </c>
      <c r="F84" s="57">
        <f>$H$32</f>
        <v>1.3343215472084589</v>
      </c>
      <c r="G84" s="54">
        <f t="shared" si="5"/>
        <v>39.200000000000003</v>
      </c>
      <c r="H84" s="54">
        <f t="shared" si="6"/>
        <v>52.3</v>
      </c>
      <c r="I84" s="54">
        <f t="shared" si="7"/>
        <v>4.2999999999999972</v>
      </c>
      <c r="J84" s="62">
        <f>ABS(D84-($C$60+$C$61*A84)*$H$32)/D84</f>
        <v>8.9695930220241429E-2</v>
      </c>
    </row>
    <row r="85" spans="1:11" ht="15" customHeight="1">
      <c r="A85" s="56">
        <v>20</v>
      </c>
      <c r="B85" s="56" t="s">
        <v>57</v>
      </c>
      <c r="C85" s="56" t="s">
        <v>53</v>
      </c>
      <c r="D85" s="56">
        <v>9</v>
      </c>
      <c r="E85" s="56" t="s">
        <v>113</v>
      </c>
      <c r="F85" s="58">
        <f>$H$33</f>
        <v>0.21262913126525682</v>
      </c>
      <c r="G85" s="56">
        <f t="shared" si="5"/>
        <v>40</v>
      </c>
      <c r="H85" s="56">
        <f t="shared" si="6"/>
        <v>8.5</v>
      </c>
      <c r="I85" s="56">
        <f t="shared" si="7"/>
        <v>0.5</v>
      </c>
      <c r="J85" s="63">
        <f>ABS(D85-($C$60+$C$61*A85)*$H$33)/D85</f>
        <v>5.4981638821080897E-2</v>
      </c>
    </row>
    <row r="86" spans="1:11" ht="15" customHeight="1">
      <c r="A86" s="86" t="s">
        <v>80</v>
      </c>
      <c r="B86" s="86"/>
      <c r="C86" s="86"/>
      <c r="D86" s="86"/>
      <c r="E86" s="86"/>
      <c r="F86" s="86"/>
      <c r="G86" s="86"/>
      <c r="H86" s="52">
        <f>ROUND(AVERAGE(J66:J85)*100,2)</f>
        <v>14.02</v>
      </c>
      <c r="I86" s="64" t="s">
        <v>81</v>
      </c>
    </row>
    <row r="88" spans="1:11" ht="15" customHeight="1">
      <c r="A88" s="83" t="s">
        <v>128</v>
      </c>
      <c r="B88" s="83"/>
      <c r="C88" s="83"/>
      <c r="D88" s="83"/>
      <c r="E88" s="83"/>
      <c r="F88" s="83"/>
      <c r="G88" s="83"/>
      <c r="H88" s="83"/>
      <c r="I88" s="83"/>
      <c r="J88" s="83"/>
      <c r="K88" s="83"/>
    </row>
    <row r="89" spans="1:11" ht="15" customHeight="1">
      <c r="A89" s="44" t="s">
        <v>29</v>
      </c>
      <c r="B89" s="44" t="s">
        <v>47</v>
      </c>
      <c r="C89" s="44" t="s">
        <v>48</v>
      </c>
      <c r="D89" s="44" t="s">
        <v>96</v>
      </c>
      <c r="E89" s="44" t="s">
        <v>124</v>
      </c>
      <c r="F89" s="44" t="s">
        <v>125</v>
      </c>
      <c r="G89" s="44" t="s">
        <v>126</v>
      </c>
    </row>
    <row r="90" spans="1:11" ht="15" customHeight="1">
      <c r="A90" s="54">
        <v>29</v>
      </c>
      <c r="B90" s="54" t="s">
        <v>55</v>
      </c>
      <c r="C90" s="54" t="s">
        <v>50</v>
      </c>
      <c r="D90" s="54" t="s">
        <v>110</v>
      </c>
      <c r="E90" s="57">
        <f>$H$30</f>
        <v>0.68146926133033625</v>
      </c>
      <c r="F90" s="54">
        <f>$C$60+$C$61*A90</f>
        <v>47.2</v>
      </c>
      <c r="G90" s="54">
        <f>ROUND(F90*E90,1)</f>
        <v>32.200000000000003</v>
      </c>
    </row>
    <row r="91" spans="1:11" ht="15" customHeight="1">
      <c r="A91" s="56">
        <v>30</v>
      </c>
      <c r="B91" s="56" t="s">
        <v>55</v>
      </c>
      <c r="C91" s="56" t="s">
        <v>51</v>
      </c>
      <c r="D91" s="56" t="s">
        <v>111</v>
      </c>
      <c r="E91" s="58">
        <f>$H$31</f>
        <v>1.7715800601959482</v>
      </c>
      <c r="F91" s="56">
        <f>$C$60+$C$61*A91</f>
        <v>48</v>
      </c>
      <c r="G91" s="56">
        <f>ROUND(F91*E91,1)</f>
        <v>85</v>
      </c>
    </row>
    <row r="92" spans="1:11" ht="15" customHeight="1">
      <c r="A92" s="54">
        <v>31</v>
      </c>
      <c r="B92" s="54" t="s">
        <v>55</v>
      </c>
      <c r="C92" s="54" t="s">
        <v>52</v>
      </c>
      <c r="D92" s="54" t="s">
        <v>112</v>
      </c>
      <c r="E92" s="57">
        <f>$H$32</f>
        <v>1.3343215472084589</v>
      </c>
      <c r="F92" s="54">
        <f>$C$60+$C$61*A92</f>
        <v>48.8</v>
      </c>
      <c r="G92" s="54">
        <f>ROUND(F92*E92,1)</f>
        <v>65.099999999999994</v>
      </c>
    </row>
    <row r="93" spans="1:11" ht="15" customHeight="1">
      <c r="A93" s="56">
        <v>32</v>
      </c>
      <c r="B93" s="56" t="s">
        <v>55</v>
      </c>
      <c r="C93" s="56" t="s">
        <v>53</v>
      </c>
      <c r="D93" s="56" t="s">
        <v>113</v>
      </c>
      <c r="E93" s="58">
        <f>$H$33</f>
        <v>0.21262913126525682</v>
      </c>
      <c r="F93" s="56">
        <f>$C$60+$C$61*A93</f>
        <v>49.6</v>
      </c>
      <c r="G93" s="56">
        <f>ROUND(F93*E93,1)</f>
        <v>10.5</v>
      </c>
    </row>
  </sheetData>
  <mergeCells count="10">
    <mergeCell ref="A58:H58"/>
    <mergeCell ref="A62:H62"/>
    <mergeCell ref="A64:K64"/>
    <mergeCell ref="A86:G86"/>
    <mergeCell ref="A88:K88"/>
    <mergeCell ref="A1:N1"/>
    <mergeCell ref="A3:H3"/>
    <mergeCell ref="A27:H27"/>
    <mergeCell ref="A28:H28"/>
    <mergeCell ref="A35:H35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4"/>
  <sheetViews>
    <sheetView workbookViewId="0">
      <selection sqref="A1:F1"/>
    </sheetView>
  </sheetViews>
  <sheetFormatPr defaultColWidth="8.6640625" defaultRowHeight="14.4"/>
  <cols>
    <col min="1" max="1" width="30" style="15" customWidth="1"/>
    <col min="2" max="6" width="18" style="15" customWidth="1"/>
  </cols>
  <sheetData>
    <row r="1" spans="1:6" ht="30" customHeight="1">
      <c r="A1" s="87" t="s">
        <v>129</v>
      </c>
      <c r="B1" s="87"/>
      <c r="C1" s="87"/>
      <c r="D1" s="87"/>
      <c r="E1" s="87"/>
      <c r="F1" s="87"/>
    </row>
    <row r="3" spans="1:6" ht="15" customHeight="1">
      <c r="A3" s="88" t="s">
        <v>130</v>
      </c>
      <c r="B3" s="88"/>
      <c r="C3" s="88"/>
      <c r="D3" s="88"/>
      <c r="E3" s="88"/>
      <c r="F3" s="88"/>
    </row>
    <row r="4" spans="1:6" ht="15" customHeight="1">
      <c r="A4" s="45" t="s">
        <v>131</v>
      </c>
      <c r="B4" s="89" t="s">
        <v>132</v>
      </c>
      <c r="C4" s="89"/>
      <c r="D4" s="89"/>
      <c r="E4" s="89"/>
      <c r="F4" s="89"/>
    </row>
    <row r="5" spans="1:6" ht="15" customHeight="1">
      <c r="A5" s="45" t="s">
        <v>61</v>
      </c>
      <c r="B5" s="90">
        <f>'Regression Model'!B5</f>
        <v>1.5</v>
      </c>
      <c r="C5" s="90"/>
      <c r="D5" s="90"/>
      <c r="E5" s="90"/>
      <c r="F5" s="90"/>
    </row>
    <row r="6" spans="1:6" ht="15" customHeight="1">
      <c r="A6" s="45" t="s">
        <v>133</v>
      </c>
      <c r="B6" s="90">
        <f>'Regression Model'!B6</f>
        <v>0.5</v>
      </c>
      <c r="C6" s="90"/>
      <c r="D6" s="90"/>
      <c r="E6" s="90"/>
      <c r="F6" s="90"/>
    </row>
    <row r="7" spans="1:6" ht="15" customHeight="1">
      <c r="A7" s="45" t="s">
        <v>134</v>
      </c>
      <c r="B7" s="90">
        <f>'Regression Model'!B7</f>
        <v>14.4</v>
      </c>
      <c r="C7" s="90"/>
      <c r="D7" s="90"/>
      <c r="E7" s="90"/>
      <c r="F7" s="90"/>
    </row>
    <row r="8" spans="1:6" ht="15" customHeight="1">
      <c r="A8" s="45" t="s">
        <v>135</v>
      </c>
      <c r="B8" s="90">
        <f>'Regression Model'!B8</f>
        <v>52.6</v>
      </c>
      <c r="C8" s="90"/>
      <c r="D8" s="90"/>
      <c r="E8" s="90"/>
      <c r="F8" s="90"/>
    </row>
    <row r="9" spans="1:6" ht="15" customHeight="1">
      <c r="A9" s="45" t="s">
        <v>136</v>
      </c>
      <c r="B9" s="90">
        <f>'Regression Model'!B9</f>
        <v>36.700000000000003</v>
      </c>
      <c r="C9" s="90"/>
      <c r="D9" s="90"/>
      <c r="E9" s="90"/>
      <c r="F9" s="90"/>
    </row>
    <row r="10" spans="1:6" ht="15" customHeight="1">
      <c r="A10" s="45" t="s">
        <v>80</v>
      </c>
      <c r="B10" s="91">
        <f>'Regression Model'!H35</f>
        <v>15.56</v>
      </c>
      <c r="C10" s="91"/>
      <c r="D10" s="91"/>
      <c r="E10" s="91"/>
      <c r="F10" s="91"/>
    </row>
    <row r="13" spans="1:6" ht="15" customHeight="1">
      <c r="A13" s="88" t="s">
        <v>137</v>
      </c>
      <c r="B13" s="88"/>
      <c r="C13" s="88"/>
      <c r="D13" s="88"/>
      <c r="E13" s="88"/>
      <c r="F13" s="88"/>
    </row>
    <row r="14" spans="1:6" ht="15" customHeight="1">
      <c r="A14" s="45" t="s">
        <v>138</v>
      </c>
      <c r="B14" s="92">
        <f>'Decomposition Mode l SAL ANS 2'!H30</f>
        <v>0.68146926133033625</v>
      </c>
      <c r="C14" s="92"/>
      <c r="D14" s="92"/>
      <c r="E14" s="92"/>
      <c r="F14" s="92"/>
    </row>
    <row r="15" spans="1:6" ht="15" customHeight="1">
      <c r="A15" s="45" t="s">
        <v>139</v>
      </c>
      <c r="B15" s="92">
        <f>'Decomposition Mode l SAL ANS 2'!H31</f>
        <v>1.7715800601959482</v>
      </c>
      <c r="C15" s="92"/>
      <c r="D15" s="92"/>
      <c r="E15" s="92"/>
      <c r="F15" s="92"/>
    </row>
    <row r="16" spans="1:6" ht="15" customHeight="1">
      <c r="A16" s="45" t="s">
        <v>140</v>
      </c>
      <c r="B16" s="92">
        <f>'Decomposition Mode l SAL ANS 2'!H32</f>
        <v>1.3343215472084589</v>
      </c>
      <c r="C16" s="92"/>
      <c r="D16" s="92"/>
      <c r="E16" s="92"/>
      <c r="F16" s="92"/>
    </row>
    <row r="17" spans="1:6" ht="15" customHeight="1">
      <c r="A17" s="45" t="s">
        <v>141</v>
      </c>
      <c r="B17" s="92">
        <f>'Decomposition Mode l SAL ANS 2'!H33</f>
        <v>0.21262913126525682</v>
      </c>
      <c r="C17" s="92"/>
      <c r="D17" s="92"/>
      <c r="E17" s="92"/>
      <c r="F17" s="92"/>
    </row>
    <row r="18" spans="1:6" ht="15" customHeight="1">
      <c r="A18" s="45" t="s">
        <v>142</v>
      </c>
      <c r="B18" s="90">
        <f>'Decomposition Mode l SAL ANS 2'!C60</f>
        <v>24</v>
      </c>
      <c r="C18" s="90"/>
      <c r="D18" s="90"/>
      <c r="E18" s="90"/>
      <c r="F18" s="90"/>
    </row>
    <row r="19" spans="1:6" ht="15" customHeight="1">
      <c r="A19" s="45" t="s">
        <v>143</v>
      </c>
      <c r="B19" s="90">
        <f>'Decomposition Mode l SAL ANS 2'!C61</f>
        <v>0.8</v>
      </c>
      <c r="C19" s="90"/>
      <c r="D19" s="90"/>
      <c r="E19" s="90"/>
      <c r="F19" s="90"/>
    </row>
    <row r="20" spans="1:6" ht="15" customHeight="1">
      <c r="A20" s="45" t="s">
        <v>80</v>
      </c>
      <c r="B20" s="91">
        <f>'Decomposition Mode l SAL ANS 2'!H86</f>
        <v>14.02</v>
      </c>
      <c r="C20" s="91"/>
      <c r="D20" s="91"/>
      <c r="E20" s="91"/>
      <c r="F20" s="91"/>
    </row>
    <row r="23" spans="1:6" ht="15" customHeight="1">
      <c r="A23" s="88" t="s">
        <v>144</v>
      </c>
      <c r="B23" s="88"/>
      <c r="C23" s="88"/>
      <c r="D23" s="88"/>
      <c r="E23" s="88"/>
      <c r="F23" s="88"/>
    </row>
    <row r="24" spans="1:6" ht="15" customHeight="1">
      <c r="A24" s="65" t="s">
        <v>145</v>
      </c>
      <c r="B24" s="93" t="str">
        <f>IF(B10&lt;B20,"Regression Model is better (lower MAPE)","Decomposition Model is better (lower MAPE)")</f>
        <v>Decomposition Model is better (lower MAPE)</v>
      </c>
      <c r="C24" s="93"/>
      <c r="D24" s="93"/>
      <c r="E24" s="93"/>
      <c r="F24" s="93"/>
    </row>
  </sheetData>
  <mergeCells count="19">
    <mergeCell ref="B19:F19"/>
    <mergeCell ref="B20:F20"/>
    <mergeCell ref="A23:F23"/>
    <mergeCell ref="B24:F24"/>
    <mergeCell ref="B14:F14"/>
    <mergeCell ref="B15:F15"/>
    <mergeCell ref="B16:F16"/>
    <mergeCell ref="B17:F17"/>
    <mergeCell ref="B18:F18"/>
    <mergeCell ref="B7:F7"/>
    <mergeCell ref="B8:F8"/>
    <mergeCell ref="B9:F9"/>
    <mergeCell ref="B10:F10"/>
    <mergeCell ref="A13:F13"/>
    <mergeCell ref="A1:F1"/>
    <mergeCell ref="A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H8"/>
  <sheetViews>
    <sheetView showGridLines="0" workbookViewId="0">
      <selection activeCell="F12" sqref="F12"/>
    </sheetView>
  </sheetViews>
  <sheetFormatPr defaultColWidth="8.6640625" defaultRowHeight="14.4"/>
  <cols>
    <col min="1" max="1" width="18" style="15" customWidth="1"/>
    <col min="2" max="4" width="8" style="15" customWidth="1"/>
    <col min="5" max="5" width="28" style="15" customWidth="1"/>
    <col min="6" max="8" width="16" style="15" customWidth="1"/>
  </cols>
  <sheetData>
    <row r="1" spans="1:8" ht="39.75" customHeight="1">
      <c r="A1" s="14" t="s">
        <v>0</v>
      </c>
      <c r="B1" s="14"/>
      <c r="C1" s="14"/>
      <c r="D1" s="14"/>
      <c r="E1" s="14"/>
      <c r="F1" s="14"/>
      <c r="G1" s="14"/>
      <c r="H1" s="14"/>
    </row>
    <row r="2" spans="1:8" ht="30" customHeight="1">
      <c r="A2" s="13" t="s">
        <v>1</v>
      </c>
      <c r="B2" s="13"/>
      <c r="C2" s="13"/>
      <c r="D2" s="13"/>
      <c r="E2" s="13"/>
      <c r="F2" s="13"/>
      <c r="G2" s="13"/>
      <c r="H2" s="13"/>
    </row>
    <row r="3" spans="1:8" ht="24.75" customHeight="1">
      <c r="A3" s="16" t="s">
        <v>2</v>
      </c>
      <c r="B3" s="16" t="s">
        <v>3</v>
      </c>
      <c r="C3" s="16" t="s">
        <v>4</v>
      </c>
      <c r="D3" s="16" t="s">
        <v>5</v>
      </c>
      <c r="E3" s="16" t="s">
        <v>6</v>
      </c>
      <c r="F3" s="16" t="s">
        <v>7</v>
      </c>
      <c r="G3" s="16" t="s">
        <v>8</v>
      </c>
      <c r="H3" s="16" t="s">
        <v>9</v>
      </c>
    </row>
    <row r="4" spans="1:8" ht="21.75" customHeight="1">
      <c r="A4" s="17" t="s">
        <v>10</v>
      </c>
      <c r="B4" s="17"/>
      <c r="C4" s="17"/>
      <c r="D4" s="17"/>
      <c r="E4" s="17"/>
      <c r="F4" s="18">
        <v>0</v>
      </c>
      <c r="G4" s="18">
        <v>0</v>
      </c>
      <c r="H4" s="18">
        <v>0</v>
      </c>
    </row>
    <row r="5" spans="1:8" ht="21.75" customHeight="1">
      <c r="A5" s="19" t="s">
        <v>11</v>
      </c>
      <c r="B5" s="20">
        <v>10</v>
      </c>
      <c r="C5" s="20">
        <v>6</v>
      </c>
      <c r="D5" s="20">
        <v>1</v>
      </c>
      <c r="E5" s="21">
        <f>D5*(F4*B5+G4*C5+H4)</f>
        <v>0</v>
      </c>
      <c r="F5" s="21">
        <f>ROUND(IF(E5&lt;=0, F4+D5*B5, F4), 4)</f>
        <v>10</v>
      </c>
      <c r="G5" s="21">
        <f>ROUND(IF(E5&lt;=0, G4+D5*C5, G4), 4)</f>
        <v>6</v>
      </c>
      <c r="H5" s="21">
        <f>ROUND(IF(E5&lt;=0, H4+D5, H4), 4)</f>
        <v>1</v>
      </c>
    </row>
    <row r="6" spans="1:8" ht="21.75" customHeight="1">
      <c r="A6" s="22" t="s">
        <v>12</v>
      </c>
      <c r="B6" s="23">
        <v>8</v>
      </c>
      <c r="C6" s="23">
        <v>4</v>
      </c>
      <c r="D6" s="23">
        <v>1</v>
      </c>
      <c r="E6" s="24">
        <f>D6*(F5*B6+G5*C6+H5)</f>
        <v>105</v>
      </c>
      <c r="F6" s="24">
        <f>ROUND(IF(E6&lt;=0, F5+D6*B6, F5), 4)</f>
        <v>10</v>
      </c>
      <c r="G6" s="24">
        <f>ROUND(IF(E6&lt;=0, G5+D6*C6, G5), 4)</f>
        <v>6</v>
      </c>
      <c r="H6" s="24">
        <f>ROUND(IF(E6&lt;=0, H5+D6, H5), 4)</f>
        <v>1</v>
      </c>
    </row>
    <row r="7" spans="1:8" ht="21.75" customHeight="1">
      <c r="A7" s="19" t="s">
        <v>13</v>
      </c>
      <c r="B7" s="25">
        <v>7</v>
      </c>
      <c r="C7" s="25">
        <v>8</v>
      </c>
      <c r="D7" s="25">
        <v>-1</v>
      </c>
      <c r="E7" s="21">
        <f>D7*(F6*B7+G6*C7+H6)</f>
        <v>-119</v>
      </c>
      <c r="F7" s="21">
        <f>ROUND(IF(E7&lt;=0, F6+D7*B7, F6), 4)</f>
        <v>3</v>
      </c>
      <c r="G7" s="21">
        <f>ROUND(IF(E7&lt;=0, G6+D7*C7, G6), 4)</f>
        <v>-2</v>
      </c>
      <c r="H7" s="21">
        <f>ROUND(IF(E7&lt;=0, H6+D7, H6), 4)</f>
        <v>0</v>
      </c>
    </row>
    <row r="8" spans="1:8" ht="18" customHeight="1">
      <c r="A8" s="12"/>
      <c r="B8" s="12"/>
      <c r="C8" s="12"/>
      <c r="D8" s="12"/>
      <c r="E8" s="12"/>
      <c r="F8" s="12"/>
      <c r="G8" s="12"/>
      <c r="H8" s="12"/>
    </row>
  </sheetData>
  <mergeCells count="3">
    <mergeCell ref="A1:H1"/>
    <mergeCell ref="A2:H2"/>
    <mergeCell ref="A8:H8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G9"/>
  <sheetViews>
    <sheetView showGridLines="0" workbookViewId="0">
      <selection activeCell="E8" sqref="E8"/>
    </sheetView>
  </sheetViews>
  <sheetFormatPr defaultColWidth="8.6640625" defaultRowHeight="14.4"/>
  <cols>
    <col min="1" max="1" width="18" style="15" customWidth="1"/>
    <col min="2" max="4" width="8" style="15" customWidth="1"/>
    <col min="5" max="5" width="22" style="15" customWidth="1"/>
    <col min="6" max="7" width="14" style="15" customWidth="1"/>
  </cols>
  <sheetData>
    <row r="1" spans="1:7" ht="39.75" customHeight="1">
      <c r="A1" s="11" t="s">
        <v>14</v>
      </c>
      <c r="B1" s="11"/>
      <c r="C1" s="11"/>
      <c r="D1" s="11"/>
      <c r="E1" s="11"/>
      <c r="F1" s="11"/>
      <c r="G1" s="11"/>
    </row>
    <row r="2" spans="1:7" ht="24.75" customHeight="1">
      <c r="A2" s="26" t="s">
        <v>15</v>
      </c>
      <c r="B2" s="26" t="s">
        <v>3</v>
      </c>
      <c r="C2" s="26" t="s">
        <v>4</v>
      </c>
      <c r="D2" s="26" t="s">
        <v>5</v>
      </c>
      <c r="E2" s="26" t="s">
        <v>16</v>
      </c>
      <c r="F2" s="26" t="s">
        <v>17</v>
      </c>
      <c r="G2" s="26" t="s">
        <v>18</v>
      </c>
    </row>
    <row r="3" spans="1:7" ht="21.75" customHeight="1">
      <c r="A3" s="27" t="s">
        <v>19</v>
      </c>
      <c r="B3" s="28">
        <v>10</v>
      </c>
      <c r="C3" s="28">
        <v>6</v>
      </c>
      <c r="D3" s="28">
        <v>1</v>
      </c>
      <c r="E3" s="29">
        <f t="shared" ref="E3:E8" si="0">17*B3-24*C3-19</f>
        <v>7</v>
      </c>
      <c r="F3" s="29">
        <f t="shared" ref="F3:F8" si="1">IF(E3&gt;0,1,-1)</f>
        <v>1</v>
      </c>
      <c r="G3" s="27" t="str">
        <f t="shared" ref="G3:G8" si="2">IF(F3=D3,"✓ Correct","✗ Wrong")</f>
        <v>✓ Correct</v>
      </c>
    </row>
    <row r="4" spans="1:7" ht="21.75" customHeight="1">
      <c r="A4" s="30" t="s">
        <v>20</v>
      </c>
      <c r="B4" s="25">
        <v>8</v>
      </c>
      <c r="C4" s="25">
        <v>4</v>
      </c>
      <c r="D4" s="25">
        <v>1</v>
      </c>
      <c r="E4" s="21">
        <f t="shared" si="0"/>
        <v>21</v>
      </c>
      <c r="F4" s="21">
        <f t="shared" si="1"/>
        <v>1</v>
      </c>
      <c r="G4" s="30" t="str">
        <f t="shared" si="2"/>
        <v>✓ Correct</v>
      </c>
    </row>
    <row r="5" spans="1:7" ht="21.75" customHeight="1">
      <c r="A5" s="27" t="s">
        <v>21</v>
      </c>
      <c r="B5" s="28">
        <v>7</v>
      </c>
      <c r="C5" s="28">
        <v>8</v>
      </c>
      <c r="D5" s="28">
        <v>-1</v>
      </c>
      <c r="E5" s="29">
        <f t="shared" si="0"/>
        <v>-92</v>
      </c>
      <c r="F5" s="29">
        <f t="shared" si="1"/>
        <v>-1</v>
      </c>
      <c r="G5" s="27" t="str">
        <f t="shared" si="2"/>
        <v>✓ Correct</v>
      </c>
    </row>
    <row r="6" spans="1:7" ht="21.75" customHeight="1">
      <c r="A6" s="30" t="s">
        <v>22</v>
      </c>
      <c r="B6" s="25">
        <v>7</v>
      </c>
      <c r="C6" s="25">
        <v>5</v>
      </c>
      <c r="D6" s="25">
        <v>-1</v>
      </c>
      <c r="E6" s="21">
        <f t="shared" si="0"/>
        <v>-20</v>
      </c>
      <c r="F6" s="21">
        <f t="shared" si="1"/>
        <v>-1</v>
      </c>
      <c r="G6" s="30" t="str">
        <f t="shared" si="2"/>
        <v>✓ Correct</v>
      </c>
    </row>
    <row r="7" spans="1:7" ht="21.75" customHeight="1">
      <c r="A7" s="27" t="s">
        <v>23</v>
      </c>
      <c r="B7" s="28">
        <v>4</v>
      </c>
      <c r="C7" s="28">
        <v>1</v>
      </c>
      <c r="D7" s="28">
        <v>-1</v>
      </c>
      <c r="E7" s="29">
        <f t="shared" si="0"/>
        <v>25</v>
      </c>
      <c r="F7" s="29">
        <f t="shared" si="1"/>
        <v>1</v>
      </c>
      <c r="G7" s="27" t="str">
        <f t="shared" si="2"/>
        <v>✗ Wrong</v>
      </c>
    </row>
    <row r="8" spans="1:7" ht="21.75" customHeight="1">
      <c r="A8" s="30" t="s">
        <v>24</v>
      </c>
      <c r="B8" s="25">
        <v>7</v>
      </c>
      <c r="C8" s="25">
        <v>2</v>
      </c>
      <c r="D8" s="25">
        <v>1</v>
      </c>
      <c r="E8" s="21">
        <f t="shared" si="0"/>
        <v>52</v>
      </c>
      <c r="F8" s="21">
        <f t="shared" si="1"/>
        <v>1</v>
      </c>
      <c r="G8" s="30" t="str">
        <f t="shared" si="2"/>
        <v>✓ Correct</v>
      </c>
    </row>
    <row r="9" spans="1:7" ht="27.75" customHeight="1">
      <c r="A9" s="10" t="s">
        <v>25</v>
      </c>
      <c r="B9" s="10"/>
      <c r="C9" s="10"/>
      <c r="D9" s="10"/>
      <c r="E9" s="31">
        <f>ROUND(COUNTIF(G3:G8,"✗ Wrong")/6, 4)</f>
        <v>0.16669999999999999</v>
      </c>
      <c r="F9" s="9" t="s">
        <v>26</v>
      </c>
      <c r="G9" s="9"/>
    </row>
  </sheetData>
  <mergeCells count="3">
    <mergeCell ref="A1:G1"/>
    <mergeCell ref="A9:D9"/>
    <mergeCell ref="F9:G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>
  <dimension ref="A1:J8"/>
  <sheetViews>
    <sheetView showGridLines="0" workbookViewId="0">
      <selection activeCell="J5" sqref="J5"/>
    </sheetView>
  </sheetViews>
  <sheetFormatPr defaultColWidth="8.6640625" defaultRowHeight="14.4"/>
  <cols>
    <col min="1" max="1" width="18" style="15" customWidth="1"/>
    <col min="2" max="4" width="8" style="15" customWidth="1"/>
    <col min="5" max="5" width="10" style="15" customWidth="1"/>
    <col min="6" max="6" width="12" style="15" customWidth="1"/>
    <col min="7" max="7" width="28" style="15" customWidth="1"/>
    <col min="8" max="10" width="16" style="15" customWidth="1"/>
  </cols>
  <sheetData>
    <row r="1" spans="1:10" ht="39.75" customHeight="1">
      <c r="A1" s="8" t="s">
        <v>27</v>
      </c>
      <c r="B1" s="8"/>
      <c r="C1" s="8"/>
      <c r="D1" s="8"/>
      <c r="E1" s="8"/>
      <c r="F1" s="8"/>
      <c r="G1" s="8"/>
      <c r="H1" s="8"/>
      <c r="I1" s="8"/>
      <c r="J1" s="8"/>
    </row>
    <row r="2" spans="1:10" ht="30" customHeight="1">
      <c r="A2" s="7" t="s">
        <v>28</v>
      </c>
      <c r="B2" s="7"/>
      <c r="C2" s="7"/>
      <c r="D2" s="7"/>
      <c r="E2" s="7"/>
      <c r="F2" s="7"/>
      <c r="G2" s="7"/>
      <c r="H2" s="7"/>
      <c r="I2" s="7"/>
      <c r="J2" s="7"/>
    </row>
    <row r="3" spans="1:10" ht="24.75" customHeight="1">
      <c r="A3" s="32" t="s">
        <v>2</v>
      </c>
      <c r="B3" s="32" t="s">
        <v>3</v>
      </c>
      <c r="C3" s="32" t="s">
        <v>4</v>
      </c>
      <c r="D3" s="32" t="s">
        <v>5</v>
      </c>
      <c r="E3" s="32" t="s">
        <v>29</v>
      </c>
      <c r="F3" s="32" t="s">
        <v>30</v>
      </c>
      <c r="G3" s="32" t="s">
        <v>31</v>
      </c>
      <c r="H3" s="32" t="s">
        <v>7</v>
      </c>
      <c r="I3" s="32" t="s">
        <v>8</v>
      </c>
      <c r="J3" s="32" t="s">
        <v>9</v>
      </c>
    </row>
    <row r="4" spans="1:10" ht="21.75" customHeight="1">
      <c r="A4" s="6" t="s">
        <v>10</v>
      </c>
      <c r="B4" s="6"/>
      <c r="C4" s="6"/>
      <c r="D4" s="6"/>
      <c r="E4" s="6"/>
      <c r="F4" s="6"/>
      <c r="G4" s="17" t="s">
        <v>32</v>
      </c>
      <c r="H4" s="18">
        <v>0</v>
      </c>
      <c r="I4" s="18">
        <v>0</v>
      </c>
      <c r="J4" s="18">
        <v>0</v>
      </c>
    </row>
    <row r="5" spans="1:10" ht="21.75" customHeight="1">
      <c r="A5" s="33" t="s">
        <v>11</v>
      </c>
      <c r="B5" s="34">
        <v>7</v>
      </c>
      <c r="C5" s="34">
        <v>8</v>
      </c>
      <c r="D5" s="34">
        <v>-1</v>
      </c>
      <c r="E5" s="33">
        <v>0</v>
      </c>
      <c r="F5" s="35">
        <f>1/(1+E5)</f>
        <v>1</v>
      </c>
      <c r="G5" s="36">
        <f>D5*(H4*B5+I4*C5+J4)</f>
        <v>0</v>
      </c>
      <c r="H5" s="36">
        <f>ROUND(IF(G5&lt;1, H4*(1-F5)+F5*D5*B5, H4*(1-F5)), 4)</f>
        <v>-7</v>
      </c>
      <c r="I5" s="36">
        <f>ROUND(IF(G5&lt;1, I4*(1-F5)+F5*D5*C5, I4*(1-F5)), 4)</f>
        <v>-8</v>
      </c>
      <c r="J5" s="36">
        <f>ROUND(IF(G5&lt;1, J4*(1-F5)+F5*D5*1, J4*(1-F5)), 4)</f>
        <v>-1</v>
      </c>
    </row>
    <row r="6" spans="1:10" ht="21.75" customHeight="1">
      <c r="A6" s="27" t="s">
        <v>12</v>
      </c>
      <c r="B6" s="28">
        <v>7</v>
      </c>
      <c r="C6" s="28">
        <v>8</v>
      </c>
      <c r="D6" s="28">
        <v>-1</v>
      </c>
      <c r="E6" s="27">
        <v>1</v>
      </c>
      <c r="F6" s="37">
        <f>1/(1+E6)</f>
        <v>0.5</v>
      </c>
      <c r="G6" s="29">
        <f>D6*(H5*B6+I5*C6+J5)</f>
        <v>114</v>
      </c>
      <c r="H6" s="29">
        <f>ROUND(IF(G6&lt;1, H5*(1-F6)+F6*D6*B6, H5*(1-F6)), 4)</f>
        <v>-3.5</v>
      </c>
      <c r="I6" s="29">
        <f>ROUND(IF(G6&lt;1, I5*(1-F6)+F6*D6*C6, I5*(1-F6)), 4)</f>
        <v>-4</v>
      </c>
      <c r="J6" s="29">
        <f>ROUND(IF(G6&lt;1, J5*(1-F6)+F6*D6*1, J5*(1-F6)), 4)</f>
        <v>-0.5</v>
      </c>
    </row>
    <row r="7" spans="1:10" ht="21.75" customHeight="1">
      <c r="A7" s="33" t="s">
        <v>13</v>
      </c>
      <c r="B7" s="34">
        <v>10</v>
      </c>
      <c r="C7" s="34">
        <v>6</v>
      </c>
      <c r="D7" s="34">
        <v>1</v>
      </c>
      <c r="E7" s="33">
        <v>2</v>
      </c>
      <c r="F7" s="35">
        <f>1/(1+E7)</f>
        <v>0.33333333333333331</v>
      </c>
      <c r="G7" s="36">
        <f>D7*(H6*B7+I6*C7+J6)</f>
        <v>-59.5</v>
      </c>
      <c r="H7" s="36">
        <f>ROUND(IF(G7&lt;1, H6*(1-F7)+F7*D7*B7, H6*(1-F7)), 4)</f>
        <v>1</v>
      </c>
      <c r="I7" s="36">
        <f>ROUND(IF(G7&lt;1, I6*(1-F7)+F7*D7*C7, I6*(1-F7)), 4)</f>
        <v>-0.66669999999999996</v>
      </c>
      <c r="J7" s="36">
        <f>ROUND(IF(G7&lt;1, J6*(1-F7)+F7*D7*1, J6*(1-F7)), 4)</f>
        <v>0</v>
      </c>
    </row>
    <row r="8" spans="1:10" ht="18" customHeight="1">
      <c r="A8" s="12"/>
      <c r="B8" s="12"/>
      <c r="C8" s="12"/>
      <c r="D8" s="12"/>
      <c r="E8" s="12"/>
      <c r="F8" s="12"/>
      <c r="G8" s="12"/>
      <c r="H8" s="12"/>
      <c r="I8" s="12"/>
      <c r="J8" s="12"/>
    </row>
  </sheetData>
  <mergeCells count="4">
    <mergeCell ref="A1:J1"/>
    <mergeCell ref="A2:J2"/>
    <mergeCell ref="A4:F4"/>
    <mergeCell ref="A8:J8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3"/>
  <sheetViews>
    <sheetView showGridLines="0" workbookViewId="0">
      <selection activeCell="A13" sqref="A13:G13"/>
    </sheetView>
  </sheetViews>
  <sheetFormatPr defaultColWidth="8.6640625" defaultRowHeight="14.4"/>
  <cols>
    <col min="1" max="1" width="18" style="15" customWidth="1"/>
    <col min="2" max="4" width="8" style="15" customWidth="1"/>
    <col min="5" max="5" width="22" style="15" customWidth="1"/>
    <col min="6" max="9" width="18" style="15" customWidth="1"/>
  </cols>
  <sheetData>
    <row r="1" spans="1:9" ht="39.75" customHeight="1">
      <c r="A1" s="5" t="s">
        <v>33</v>
      </c>
      <c r="B1" s="5"/>
      <c r="C1" s="5"/>
      <c r="D1" s="5"/>
      <c r="E1" s="5"/>
      <c r="F1" s="5"/>
      <c r="G1" s="5"/>
      <c r="H1" s="5"/>
      <c r="I1" s="5"/>
    </row>
    <row r="2" spans="1:9" ht="21.75" customHeight="1">
      <c r="A2" s="38" t="s">
        <v>7</v>
      </c>
      <c r="B2" s="39">
        <v>0.36070000000000002</v>
      </c>
      <c r="C2" s="38" t="s">
        <v>8</v>
      </c>
      <c r="D2" s="39">
        <v>-0.18029999999999999</v>
      </c>
      <c r="E2" s="38" t="s">
        <v>9</v>
      </c>
      <c r="F2" s="39">
        <v>-0.47720000000000001</v>
      </c>
      <c r="G2" s="38" t="s">
        <v>34</v>
      </c>
      <c r="H2" s="39">
        <v>1</v>
      </c>
    </row>
    <row r="3" spans="1:9" ht="24.75" customHeight="1">
      <c r="A3" s="38" t="s">
        <v>15</v>
      </c>
      <c r="B3" s="38" t="s">
        <v>3</v>
      </c>
      <c r="C3" s="38" t="s">
        <v>4</v>
      </c>
      <c r="D3" s="38" t="s">
        <v>5</v>
      </c>
      <c r="E3" s="38" t="s">
        <v>35</v>
      </c>
      <c r="F3" s="38" t="s">
        <v>36</v>
      </c>
      <c r="G3" s="38" t="s">
        <v>37</v>
      </c>
    </row>
    <row r="4" spans="1:9" ht="21.75" customHeight="1">
      <c r="A4" s="40" t="s">
        <v>38</v>
      </c>
      <c r="B4" s="41">
        <v>10</v>
      </c>
      <c r="C4" s="41">
        <v>6</v>
      </c>
      <c r="D4" s="41">
        <v>1</v>
      </c>
      <c r="E4" s="42">
        <f t="shared" ref="E4:E9" si="0">$B$2*B4+$D$2*C4+$F$2</f>
        <v>2.0480000000000005</v>
      </c>
      <c r="F4" s="42">
        <f t="shared" ref="F4:F9" si="1">D4*E4</f>
        <v>2.0480000000000005</v>
      </c>
      <c r="G4" s="42">
        <f t="shared" ref="G4:G9" si="2">MAX(0,1-F4)</f>
        <v>0</v>
      </c>
    </row>
    <row r="5" spans="1:9" ht="21.75" customHeight="1">
      <c r="A5" s="27" t="s">
        <v>39</v>
      </c>
      <c r="B5" s="28">
        <v>8</v>
      </c>
      <c r="C5" s="28">
        <v>4</v>
      </c>
      <c r="D5" s="28">
        <v>1</v>
      </c>
      <c r="E5" s="29">
        <f t="shared" si="0"/>
        <v>1.6872</v>
      </c>
      <c r="F5" s="29">
        <f t="shared" si="1"/>
        <v>1.6872</v>
      </c>
      <c r="G5" s="29">
        <f t="shared" si="2"/>
        <v>0</v>
      </c>
    </row>
    <row r="6" spans="1:9" ht="21.75" customHeight="1">
      <c r="A6" s="40" t="s">
        <v>40</v>
      </c>
      <c r="B6" s="41">
        <v>7</v>
      </c>
      <c r="C6" s="41">
        <v>8</v>
      </c>
      <c r="D6" s="41">
        <v>-1</v>
      </c>
      <c r="E6" s="42">
        <f t="shared" si="0"/>
        <v>0.60530000000000017</v>
      </c>
      <c r="F6" s="42">
        <f t="shared" si="1"/>
        <v>-0.60530000000000017</v>
      </c>
      <c r="G6" s="42">
        <f t="shared" si="2"/>
        <v>1.6053000000000002</v>
      </c>
    </row>
    <row r="7" spans="1:9" ht="21.75" customHeight="1">
      <c r="A7" s="27" t="s">
        <v>41</v>
      </c>
      <c r="B7" s="28">
        <v>7</v>
      </c>
      <c r="C7" s="28">
        <v>5</v>
      </c>
      <c r="D7" s="28">
        <v>-1</v>
      </c>
      <c r="E7" s="29">
        <f t="shared" si="0"/>
        <v>1.1462000000000001</v>
      </c>
      <c r="F7" s="29">
        <f t="shared" si="1"/>
        <v>-1.1462000000000001</v>
      </c>
      <c r="G7" s="29">
        <f t="shared" si="2"/>
        <v>2.1462000000000003</v>
      </c>
    </row>
    <row r="8" spans="1:9" ht="21.75" customHeight="1">
      <c r="A8" s="40" t="s">
        <v>42</v>
      </c>
      <c r="B8" s="41">
        <v>4</v>
      </c>
      <c r="C8" s="41">
        <v>1</v>
      </c>
      <c r="D8" s="41">
        <v>-1</v>
      </c>
      <c r="E8" s="42">
        <f t="shared" si="0"/>
        <v>0.78530000000000011</v>
      </c>
      <c r="F8" s="42">
        <f t="shared" si="1"/>
        <v>-0.78530000000000011</v>
      </c>
      <c r="G8" s="42">
        <f t="shared" si="2"/>
        <v>1.7853000000000001</v>
      </c>
    </row>
    <row r="9" spans="1:9" ht="21.75" customHeight="1">
      <c r="A9" s="27" t="s">
        <v>43</v>
      </c>
      <c r="B9" s="28">
        <v>7</v>
      </c>
      <c r="C9" s="28">
        <v>2</v>
      </c>
      <c r="D9" s="28">
        <v>1</v>
      </c>
      <c r="E9" s="29">
        <f t="shared" si="0"/>
        <v>1.6871000000000003</v>
      </c>
      <c r="F9" s="29">
        <f t="shared" si="1"/>
        <v>1.6871000000000003</v>
      </c>
      <c r="G9" s="29">
        <f t="shared" si="2"/>
        <v>0</v>
      </c>
    </row>
    <row r="10" spans="1:9" ht="24.75" customHeight="1">
      <c r="A10" s="4" t="s">
        <v>44</v>
      </c>
      <c r="B10" s="4"/>
      <c r="C10" s="4"/>
      <c r="D10" s="4"/>
      <c r="E10" s="4"/>
      <c r="F10" s="4"/>
      <c r="G10" s="31">
        <f>ROUND(SUM(G4:G9)/6, 4)</f>
        <v>0.92279999999999995</v>
      </c>
    </row>
    <row r="11" spans="1:9" ht="24.75" customHeight="1">
      <c r="A11" s="4" t="s">
        <v>45</v>
      </c>
      <c r="B11" s="4"/>
      <c r="C11" s="4"/>
      <c r="D11" s="4"/>
      <c r="E11" s="4"/>
      <c r="F11" s="4"/>
      <c r="G11" s="31">
        <f>ROUND($H$2/2*($B$2^2+$D$2^2), 4)</f>
        <v>8.1299999999999997E-2</v>
      </c>
    </row>
    <row r="12" spans="1:9" ht="27.75" customHeight="1">
      <c r="A12" s="10" t="s">
        <v>46</v>
      </c>
      <c r="B12" s="10"/>
      <c r="C12" s="10"/>
      <c r="D12" s="10"/>
      <c r="E12" s="10"/>
      <c r="F12" s="10"/>
      <c r="G12" s="43">
        <f>ROUND(G10+G11, 4)</f>
        <v>1.0041</v>
      </c>
    </row>
    <row r="13" spans="1:9" ht="18" customHeight="1">
      <c r="A13" s="12"/>
      <c r="B13" s="12"/>
      <c r="C13" s="12"/>
      <c r="D13" s="12"/>
      <c r="E13" s="12"/>
      <c r="F13" s="12"/>
      <c r="G13" s="12"/>
    </row>
  </sheetData>
  <mergeCells count="5">
    <mergeCell ref="A1:I1"/>
    <mergeCell ref="A10:F10"/>
    <mergeCell ref="A11:F11"/>
    <mergeCell ref="A12:F12"/>
    <mergeCell ref="A13:G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TTC Ridership Forecasting  ANS </vt:lpstr>
      <vt:lpstr>Regression Model</vt:lpstr>
      <vt:lpstr>Decomposition Mode l SAL ANS 2</vt:lpstr>
      <vt:lpstr>Summary &amp; Comparison ANS 2</vt:lpstr>
      <vt:lpstr>Part A - Perceptron  ANS 3 </vt:lpstr>
      <vt:lpstr>Part B - Training Error</vt:lpstr>
      <vt:lpstr>Part C - SGD</vt:lpstr>
      <vt:lpstr>Part D - Objective Function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cp:revision>0</cp:revision>
  <dcterms:created xsi:type="dcterms:W3CDTF">2026-02-24T23:15:18Z</dcterms:created>
  <dcterms:modified xsi:type="dcterms:W3CDTF">2026-02-24T23:38:22Z</dcterms:modified>
  <dc:language>en-US</dc:language>
</cp:coreProperties>
</file>